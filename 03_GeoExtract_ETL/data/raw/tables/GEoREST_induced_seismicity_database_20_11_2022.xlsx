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projects\My_project\06_Data_extraction_ETL_service\data\raw\tables\"/>
    </mc:Choice>
  </mc:AlternateContent>
  <xr:revisionPtr revIDLastSave="0" documentId="13_ncr:1_{EC932B3A-C2B5-437D-9643-CCE4042AE358}" xr6:coauthVersionLast="47" xr6:coauthVersionMax="47" xr10:uidLastSave="{00000000-0000-0000-0000-000000000000}"/>
  <bookViews>
    <workbookView xWindow="-103" yWindow="-103" windowWidth="27634" windowHeight="16629" xr2:uid="{00000000-000D-0000-FFFF-FFFF00000000}"/>
  </bookViews>
  <sheets>
    <sheet name="Лист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K162" i="2" l="1"/>
  <c r="BJ162" i="2"/>
  <c r="BE162" i="2"/>
  <c r="BD162" i="2"/>
  <c r="BA162" i="2"/>
  <c r="AZ162" i="2"/>
  <c r="AW162" i="2"/>
  <c r="AV162" i="2"/>
  <c r="AB162" i="2"/>
  <c r="Z162" i="2"/>
  <c r="R162" i="2"/>
  <c r="O162" i="2"/>
  <c r="BK161" i="2"/>
  <c r="BJ161" i="2"/>
  <c r="BE161" i="2"/>
  <c r="BD161" i="2"/>
  <c r="BA161" i="2"/>
  <c r="AZ161" i="2"/>
  <c r="AW161" i="2"/>
  <c r="AV161" i="2"/>
  <c r="R161" i="2"/>
  <c r="BK160" i="2"/>
  <c r="BJ160" i="2"/>
  <c r="BE160" i="2"/>
  <c r="BD160" i="2"/>
  <c r="BA160" i="2"/>
  <c r="AZ160" i="2"/>
  <c r="AW160" i="2"/>
  <c r="AV160" i="2"/>
  <c r="Z160" i="2"/>
  <c r="Y160" i="2"/>
  <c r="R159" i="2"/>
  <c r="R156" i="2"/>
  <c r="R155" i="2"/>
  <c r="BK154" i="2"/>
  <c r="BJ154" i="2"/>
  <c r="BE154" i="2"/>
  <c r="BD154" i="2"/>
  <c r="BA154" i="2"/>
  <c r="AZ154" i="2"/>
  <c r="AW154" i="2"/>
  <c r="AV154" i="2"/>
  <c r="AB154" i="2"/>
  <c r="AA154" i="2"/>
  <c r="Z154" i="2"/>
  <c r="Y154" i="2"/>
  <c r="R154" i="2"/>
  <c r="O154" i="2"/>
  <c r="BJ153" i="2"/>
  <c r="BD153" i="2"/>
  <c r="AZ153" i="2"/>
  <c r="AV153" i="2"/>
  <c r="AB153" i="2"/>
  <c r="Z153" i="2"/>
  <c r="R153" i="2"/>
  <c r="O153" i="2"/>
  <c r="AB150" i="2"/>
  <c r="AA150" i="2"/>
  <c r="Z150" i="2"/>
  <c r="Y150" i="2"/>
  <c r="O150" i="2"/>
  <c r="R149" i="2"/>
  <c r="R148" i="2"/>
  <c r="O148" i="2"/>
  <c r="BK147" i="2"/>
  <c r="BJ147" i="2"/>
  <c r="BE147" i="2"/>
  <c r="BD147" i="2"/>
  <c r="BA147" i="2"/>
  <c r="AZ147" i="2"/>
  <c r="AW147" i="2"/>
  <c r="AV147" i="2"/>
  <c r="BK146" i="2"/>
  <c r="BJ146" i="2"/>
  <c r="BE146" i="2"/>
  <c r="BD146" i="2"/>
  <c r="BA146" i="2"/>
  <c r="AZ146" i="2"/>
  <c r="AW146" i="2"/>
  <c r="AV146" i="2"/>
  <c r="R146" i="2"/>
  <c r="R145" i="2"/>
  <c r="BK144" i="2"/>
  <c r="BJ144" i="2"/>
  <c r="BE144" i="2"/>
  <c r="BD144" i="2"/>
  <c r="BA144" i="2"/>
  <c r="AZ144" i="2"/>
  <c r="AW144" i="2"/>
  <c r="AV144" i="2"/>
  <c r="R144" i="2"/>
  <c r="BJ143" i="2"/>
  <c r="BD143" i="2"/>
  <c r="AZ143" i="2"/>
  <c r="AV143" i="2"/>
  <c r="R143" i="2"/>
  <c r="BJ142" i="2"/>
  <c r="BD142" i="2"/>
  <c r="AZ142" i="2"/>
  <c r="AV142" i="2"/>
  <c r="AB142" i="2"/>
  <c r="Z142" i="2"/>
  <c r="R142" i="2"/>
  <c r="O142" i="2"/>
  <c r="DD141" i="2"/>
  <c r="DB141" i="2"/>
  <c r="R141" i="2"/>
  <c r="DD139" i="2"/>
  <c r="AB137" i="2"/>
  <c r="AA137" i="2"/>
  <c r="Z137" i="2"/>
  <c r="R137" i="2"/>
  <c r="AB136" i="2"/>
  <c r="AA136" i="2"/>
  <c r="Z136" i="2"/>
  <c r="Y136" i="2"/>
  <c r="X136" i="2"/>
  <c r="U136" i="2"/>
  <c r="R136" i="2"/>
  <c r="BJ135" i="2"/>
  <c r="BD135" i="2"/>
  <c r="AZ135" i="2"/>
  <c r="AV135" i="2"/>
  <c r="AB135" i="2"/>
  <c r="AA135" i="2"/>
  <c r="Z135" i="2"/>
  <c r="Y135" i="2"/>
  <c r="DE134" i="2"/>
  <c r="BK133" i="2"/>
  <c r="BJ133" i="2"/>
  <c r="BB133" i="2"/>
  <c r="BE133" i="2" s="1"/>
  <c r="BA133" i="2"/>
  <c r="AZ133" i="2"/>
  <c r="AW133" i="2"/>
  <c r="AV133" i="2"/>
  <c r="AA131" i="2"/>
  <c r="Y131" i="2"/>
  <c r="R131" i="2"/>
  <c r="BK130" i="2"/>
  <c r="BJ130" i="2"/>
  <c r="BE130" i="2"/>
  <c r="BD130" i="2"/>
  <c r="BA130" i="2"/>
  <c r="AZ130" i="2"/>
  <c r="AW130" i="2"/>
  <c r="AV130" i="2"/>
  <c r="AB130" i="2"/>
  <c r="AA130" i="2"/>
  <c r="Z130" i="2"/>
  <c r="Y130" i="2"/>
  <c r="U130" i="2"/>
  <c r="R130" i="2"/>
  <c r="BJ129" i="2"/>
  <c r="BD129" i="2"/>
  <c r="AZ129" i="2"/>
  <c r="AV129" i="2"/>
  <c r="AB129" i="2"/>
  <c r="AA129" i="2"/>
  <c r="Z129" i="2"/>
  <c r="Y129" i="2"/>
  <c r="X129" i="2"/>
  <c r="R129" i="2"/>
  <c r="BK128" i="2"/>
  <c r="BJ128" i="2"/>
  <c r="BE128" i="2"/>
  <c r="BD128" i="2"/>
  <c r="BA128" i="2"/>
  <c r="AZ128" i="2"/>
  <c r="AW128" i="2"/>
  <c r="AV128" i="2"/>
  <c r="R128" i="2"/>
  <c r="BD127" i="2"/>
  <c r="AZ127" i="2"/>
  <c r="AV127" i="2"/>
  <c r="AB127" i="2"/>
  <c r="AA127" i="2"/>
  <c r="Z127" i="2"/>
  <c r="Y127" i="2"/>
  <c r="X127" i="2"/>
  <c r="U127" i="2"/>
  <c r="R127" i="2"/>
  <c r="BD126" i="2"/>
  <c r="AZ126" i="2"/>
  <c r="AV126" i="2"/>
  <c r="W126" i="2"/>
  <c r="V126" i="2"/>
  <c r="T126" i="2"/>
  <c r="S126" i="2"/>
  <c r="U126" i="2" s="1"/>
  <c r="O126" i="2"/>
  <c r="DE125" i="2"/>
  <c r="AA124" i="2"/>
  <c r="Y124" i="2"/>
  <c r="R124" i="2"/>
  <c r="AB123" i="2"/>
  <c r="Z123" i="2"/>
  <c r="R123" i="2"/>
  <c r="AB122" i="2"/>
  <c r="Z122" i="2"/>
  <c r="R122" i="2"/>
  <c r="AB118" i="2"/>
  <c r="AA118" i="2"/>
  <c r="Z118" i="2"/>
  <c r="Y118" i="2"/>
  <c r="U118" i="2"/>
  <c r="R118" i="2"/>
  <c r="AB117" i="2"/>
  <c r="AA117" i="2"/>
  <c r="Z117" i="2"/>
  <c r="Y117" i="2"/>
  <c r="AB113" i="2"/>
  <c r="AA113" i="2"/>
  <c r="Z113" i="2"/>
  <c r="Y113" i="2"/>
  <c r="O113" i="2"/>
  <c r="BJ112" i="2"/>
  <c r="BD112" i="2"/>
  <c r="AZ112" i="2"/>
  <c r="AV112" i="2"/>
  <c r="AB112" i="2"/>
  <c r="AA112" i="2"/>
  <c r="Z112" i="2"/>
  <c r="Y112" i="2"/>
  <c r="X112" i="2"/>
  <c r="U112" i="2"/>
  <c r="R112" i="2"/>
  <c r="O112" i="2"/>
  <c r="BJ111" i="2"/>
  <c r="BD111" i="2"/>
  <c r="AZ111" i="2"/>
  <c r="AV111" i="2"/>
  <c r="AB111" i="2"/>
  <c r="AA111" i="2"/>
  <c r="Z111" i="2"/>
  <c r="Y111" i="2"/>
  <c r="X111" i="2"/>
  <c r="U111" i="2"/>
  <c r="R111" i="2"/>
  <c r="O111" i="2"/>
  <c r="BK110" i="2"/>
  <c r="BJ110" i="2"/>
  <c r="BE110" i="2"/>
  <c r="BD110" i="2"/>
  <c r="BA110" i="2"/>
  <c r="AZ110" i="2"/>
  <c r="AW110" i="2"/>
  <c r="AV110" i="2"/>
  <c r="AB110" i="2"/>
  <c r="AA110" i="2"/>
  <c r="Z110" i="2"/>
  <c r="Y110" i="2"/>
  <c r="X110" i="2"/>
  <c r="U110" i="2"/>
  <c r="R110" i="2"/>
  <c r="O110" i="2"/>
  <c r="BK109" i="2"/>
  <c r="BJ109" i="2"/>
  <c r="BE109" i="2"/>
  <c r="BD109" i="2"/>
  <c r="BA109" i="2"/>
  <c r="AZ109" i="2"/>
  <c r="AW109" i="2"/>
  <c r="AV109" i="2"/>
  <c r="AB109" i="2"/>
  <c r="AA109" i="2"/>
  <c r="Z109" i="2"/>
  <c r="Y109" i="2"/>
  <c r="X109" i="2"/>
  <c r="U109" i="2"/>
  <c r="R109" i="2"/>
  <c r="O109" i="2"/>
  <c r="BK106" i="2"/>
  <c r="BE106" i="2"/>
  <c r="BA106" i="2"/>
  <c r="AW106" i="2"/>
  <c r="BK104" i="2"/>
  <c r="BE104" i="2"/>
  <c r="BA104" i="2"/>
  <c r="AW104" i="2"/>
  <c r="BK103" i="2"/>
  <c r="BE103" i="2"/>
  <c r="BA103" i="2"/>
  <c r="AW103" i="2"/>
  <c r="U102" i="2"/>
  <c r="BK101" i="2"/>
  <c r="BE101" i="2"/>
  <c r="BA101" i="2"/>
  <c r="AW101" i="2"/>
  <c r="BJ100" i="2"/>
  <c r="BH100" i="2"/>
  <c r="BB100" i="2"/>
  <c r="BD100" i="2" s="1"/>
  <c r="AX100" i="2"/>
  <c r="AZ100" i="2" s="1"/>
  <c r="AT100" i="2"/>
  <c r="AV100" i="2" s="1"/>
  <c r="AB100" i="2"/>
  <c r="AA100" i="2"/>
  <c r="Z100" i="2"/>
  <c r="Y100" i="2"/>
  <c r="BB99" i="2"/>
  <c r="BD99" i="2" s="1"/>
  <c r="AZ99" i="2"/>
  <c r="AX99" i="2"/>
  <c r="AV99" i="2"/>
  <c r="AT99" i="2"/>
  <c r="R99" i="2"/>
  <c r="O99" i="2"/>
  <c r="R98" i="2"/>
  <c r="AB97" i="2"/>
  <c r="AA97" i="2"/>
  <c r="Z97" i="2"/>
  <c r="Y97" i="2"/>
  <c r="O97" i="2"/>
  <c r="BK95" i="2"/>
  <c r="BE95" i="2"/>
  <c r="BA95" i="2"/>
  <c r="AW95" i="2"/>
  <c r="R95" i="2"/>
  <c r="BK94" i="2"/>
  <c r="BE94" i="2"/>
  <c r="BA94" i="2"/>
  <c r="AW94" i="2"/>
  <c r="R94" i="2"/>
  <c r="BK93" i="2"/>
  <c r="BE93" i="2"/>
  <c r="BA93" i="2"/>
  <c r="AW93" i="2"/>
  <c r="R93" i="2"/>
  <c r="BK92" i="2"/>
  <c r="BE92" i="2"/>
  <c r="BA92" i="2"/>
  <c r="AW92" i="2"/>
  <c r="R92" i="2"/>
  <c r="BK91" i="2"/>
  <c r="BE91" i="2"/>
  <c r="BA91" i="2"/>
  <c r="AW91" i="2"/>
  <c r="R91" i="2"/>
  <c r="BK90" i="2"/>
  <c r="BE90" i="2"/>
  <c r="BA90" i="2"/>
  <c r="AW90" i="2"/>
  <c r="R90" i="2"/>
  <c r="BK89" i="2"/>
  <c r="BE89" i="2"/>
  <c r="BA89" i="2"/>
  <c r="AW89" i="2"/>
  <c r="R89" i="2"/>
  <c r="BK88" i="2"/>
  <c r="BE88" i="2"/>
  <c r="BA88" i="2"/>
  <c r="AW88" i="2"/>
  <c r="R88" i="2"/>
  <c r="BK87" i="2"/>
  <c r="BE87" i="2"/>
  <c r="BA87" i="2"/>
  <c r="AW87" i="2"/>
  <c r="R87" i="2"/>
  <c r="BK86" i="2"/>
  <c r="BE86" i="2"/>
  <c r="BA86" i="2"/>
  <c r="AW86" i="2"/>
  <c r="R86" i="2"/>
  <c r="BK85" i="2"/>
  <c r="BE85" i="2"/>
  <c r="BA85" i="2"/>
  <c r="AW85" i="2"/>
  <c r="R85" i="2"/>
  <c r="BK84" i="2"/>
  <c r="BE84" i="2"/>
  <c r="BA84" i="2"/>
  <c r="AW84" i="2"/>
  <c r="R84" i="2"/>
  <c r="BK83" i="2"/>
  <c r="BE83" i="2"/>
  <c r="BA83" i="2"/>
  <c r="AW83" i="2"/>
  <c r="R83" i="2"/>
  <c r="BK82" i="2"/>
  <c r="BE82" i="2"/>
  <c r="BA82" i="2"/>
  <c r="AW82" i="2"/>
  <c r="R82" i="2"/>
  <c r="BK81" i="2"/>
  <c r="BE81" i="2"/>
  <c r="BA81" i="2"/>
  <c r="AW81" i="2"/>
  <c r="R81" i="2"/>
  <c r="BK80" i="2"/>
  <c r="BE80" i="2"/>
  <c r="BA80" i="2"/>
  <c r="AW80" i="2"/>
  <c r="R80" i="2"/>
  <c r="BK79" i="2"/>
  <c r="BJ79" i="2"/>
  <c r="BE79" i="2"/>
  <c r="BD79" i="2"/>
  <c r="BA79" i="2"/>
  <c r="AZ79" i="2"/>
  <c r="AW79" i="2"/>
  <c r="AV79" i="2"/>
  <c r="R79" i="2"/>
  <c r="BK78" i="2"/>
  <c r="BE78" i="2"/>
  <c r="BA78" i="2"/>
  <c r="AW78" i="2"/>
  <c r="R78" i="2"/>
  <c r="BJ77" i="2"/>
  <c r="BD77" i="2"/>
  <c r="AZ77" i="2"/>
  <c r="AV77" i="2"/>
  <c r="AB77" i="2"/>
  <c r="AA77" i="2"/>
  <c r="Z77" i="2"/>
  <c r="Y77" i="2"/>
  <c r="BB76" i="2"/>
  <c r="AX76" i="2"/>
  <c r="AT76" i="2"/>
  <c r="R76" i="2"/>
  <c r="O76" i="2"/>
  <c r="BB75" i="2"/>
  <c r="AX75" i="2"/>
  <c r="AT75" i="2"/>
  <c r="R75" i="2"/>
  <c r="R73" i="2"/>
  <c r="BB72" i="2"/>
  <c r="AX72" i="2"/>
  <c r="AT72" i="2"/>
  <c r="R72" i="2"/>
  <c r="O72" i="2"/>
  <c r="BK71" i="2"/>
  <c r="BE71" i="2"/>
  <c r="BA71" i="2"/>
  <c r="AW71" i="2"/>
  <c r="BK70" i="2"/>
  <c r="BE70" i="2"/>
  <c r="BA70" i="2"/>
  <c r="AW70" i="2"/>
  <c r="BK69" i="2"/>
  <c r="BE69" i="2"/>
  <c r="BA69" i="2"/>
  <c r="AW69" i="2"/>
  <c r="AB69" i="2"/>
  <c r="AA69" i="2"/>
  <c r="Z69" i="2"/>
  <c r="Y69" i="2"/>
  <c r="X69" i="2"/>
  <c r="U69" i="2"/>
  <c r="R69" i="2"/>
  <c r="BJ67" i="2"/>
  <c r="BD67" i="2"/>
  <c r="AZ67" i="2"/>
  <c r="AV67" i="2"/>
  <c r="X67" i="2"/>
  <c r="U67" i="2"/>
  <c r="R67" i="2"/>
  <c r="O67" i="2"/>
  <c r="BJ66" i="2"/>
  <c r="BD66" i="2"/>
  <c r="AZ66" i="2"/>
  <c r="AV66" i="2"/>
  <c r="X66" i="2"/>
  <c r="U66" i="2"/>
  <c r="R66" i="2"/>
  <c r="BB65" i="2"/>
  <c r="BE65" i="2" s="1"/>
  <c r="AW65" i="2"/>
  <c r="AV65" i="2"/>
  <c r="R65" i="2"/>
  <c r="O65" i="2"/>
  <c r="BD64" i="2"/>
  <c r="AZ64" i="2"/>
  <c r="R63" i="2"/>
  <c r="BK62" i="2"/>
  <c r="BJ62" i="2"/>
  <c r="BE62" i="2"/>
  <c r="BD62" i="2"/>
  <c r="BA62" i="2"/>
  <c r="AZ62" i="2"/>
  <c r="AW62" i="2"/>
  <c r="AV62" i="2"/>
  <c r="AB62" i="2"/>
  <c r="AA62" i="2"/>
  <c r="Z62" i="2"/>
  <c r="Y62" i="2"/>
  <c r="X62" i="2"/>
  <c r="U62" i="2"/>
  <c r="O62" i="2"/>
  <c r="BH61" i="2"/>
  <c r="BK61" i="2" s="1"/>
  <c r="BB61" i="2"/>
  <c r="BE61" i="2" s="1"/>
  <c r="AX61" i="2"/>
  <c r="AZ61" i="2" s="1"/>
  <c r="AW61" i="2"/>
  <c r="AV61" i="2"/>
  <c r="R61" i="2"/>
  <c r="O61" i="2"/>
  <c r="BK60" i="2"/>
  <c r="BJ60" i="2"/>
  <c r="BE60" i="2"/>
  <c r="BD60" i="2"/>
  <c r="BA60" i="2"/>
  <c r="AZ60" i="2"/>
  <c r="AW60" i="2"/>
  <c r="AV60" i="2"/>
  <c r="AB60" i="2"/>
  <c r="AA60" i="2"/>
  <c r="Z60" i="2"/>
  <c r="Y60" i="2"/>
  <c r="X60" i="2"/>
  <c r="U60" i="2"/>
  <c r="R60" i="2"/>
  <c r="O60" i="2"/>
  <c r="BD59" i="2"/>
  <c r="AZ59" i="2"/>
  <c r="AV59" i="2"/>
  <c r="X59" i="2"/>
  <c r="U59" i="2"/>
  <c r="R59" i="2"/>
  <c r="AB58" i="2"/>
  <c r="Z58" i="2"/>
  <c r="R58" i="2"/>
  <c r="BK56" i="2"/>
  <c r="BJ56" i="2"/>
  <c r="BE56" i="2"/>
  <c r="BD56" i="2"/>
  <c r="AW56" i="2"/>
  <c r="AV56" i="2"/>
  <c r="AB56" i="2"/>
  <c r="AA56" i="2"/>
  <c r="Z56" i="2"/>
  <c r="Y56" i="2"/>
  <c r="R56" i="2"/>
  <c r="O56" i="2"/>
  <c r="AB55" i="2"/>
  <c r="AA55" i="2"/>
  <c r="Z55" i="2"/>
  <c r="Y55" i="2"/>
  <c r="X55" i="2"/>
  <c r="U55" i="2"/>
  <c r="R55" i="2"/>
  <c r="O55" i="2"/>
  <c r="AA53" i="2"/>
  <c r="Y53" i="2"/>
  <c r="X53" i="2"/>
  <c r="U53" i="2"/>
  <c r="X52" i="2"/>
  <c r="R52" i="2"/>
  <c r="O52" i="2"/>
  <c r="R51" i="2"/>
  <c r="BB50" i="2"/>
  <c r="BD50" i="2" s="1"/>
  <c r="BA50" i="2"/>
  <c r="AZ50" i="2"/>
  <c r="AW50" i="2"/>
  <c r="AV50" i="2"/>
  <c r="X50" i="2"/>
  <c r="U50" i="2"/>
  <c r="R50" i="2"/>
  <c r="O50" i="2"/>
  <c r="BK49" i="2"/>
  <c r="BJ49" i="2"/>
  <c r="BE49" i="2"/>
  <c r="BD49" i="2"/>
  <c r="BA49" i="2"/>
  <c r="AZ49" i="2"/>
  <c r="AW49" i="2"/>
  <c r="AV49" i="2"/>
  <c r="X49" i="2"/>
  <c r="U49" i="2"/>
  <c r="R49" i="2"/>
  <c r="BK48" i="2"/>
  <c r="BJ48" i="2"/>
  <c r="BE48" i="2"/>
  <c r="BD48" i="2"/>
  <c r="BA48" i="2"/>
  <c r="AZ48" i="2"/>
  <c r="AW48" i="2"/>
  <c r="AV48" i="2"/>
  <c r="X48" i="2"/>
  <c r="U48" i="2"/>
  <c r="R48" i="2"/>
  <c r="BJ44" i="2"/>
  <c r="BD44" i="2"/>
  <c r="AZ44" i="2"/>
  <c r="AV44" i="2"/>
  <c r="AB44" i="2"/>
  <c r="AA44" i="2"/>
  <c r="Z44" i="2"/>
  <c r="Y44" i="2"/>
  <c r="U44" i="2"/>
  <c r="O42" i="2"/>
  <c r="AB40" i="2"/>
  <c r="AA40" i="2"/>
  <c r="Z40" i="2"/>
  <c r="Y40" i="2"/>
  <c r="X40" i="2"/>
  <c r="U40" i="2"/>
  <c r="R40" i="2"/>
  <c r="O40" i="2"/>
  <c r="BJ39" i="2"/>
  <c r="BD39" i="2"/>
  <c r="AZ39" i="2"/>
  <c r="AV39" i="2"/>
  <c r="AB39" i="2"/>
  <c r="Z39" i="2"/>
  <c r="X39" i="2"/>
  <c r="U39" i="2"/>
  <c r="BK38" i="2"/>
  <c r="BJ38" i="2"/>
  <c r="BE38" i="2"/>
  <c r="BD38" i="2"/>
  <c r="BA38" i="2"/>
  <c r="AZ38" i="2"/>
  <c r="AW38" i="2"/>
  <c r="AV38" i="2"/>
  <c r="AB38" i="2"/>
  <c r="Z38" i="2"/>
  <c r="X38" i="2"/>
  <c r="U38" i="2"/>
  <c r="BK37" i="2"/>
  <c r="BJ37" i="2"/>
  <c r="BE37" i="2"/>
  <c r="BD37" i="2"/>
  <c r="BA37" i="2"/>
  <c r="AZ37" i="2"/>
  <c r="AW37" i="2"/>
  <c r="AV37" i="2"/>
  <c r="AB37" i="2"/>
  <c r="Z37" i="2"/>
  <c r="X37" i="2"/>
  <c r="U37" i="2"/>
  <c r="BK36" i="2"/>
  <c r="BJ36" i="2"/>
  <c r="BE36" i="2"/>
  <c r="BD36" i="2"/>
  <c r="BA36" i="2"/>
  <c r="AZ36" i="2"/>
  <c r="AW36" i="2"/>
  <c r="AV36" i="2"/>
  <c r="AB36" i="2"/>
  <c r="AA36" i="2"/>
  <c r="Z36" i="2"/>
  <c r="Y36" i="2"/>
  <c r="X36" i="2"/>
  <c r="U36" i="2"/>
  <c r="R36" i="2"/>
  <c r="O35" i="2"/>
  <c r="O34" i="2"/>
  <c r="O33" i="2"/>
  <c r="BJ32" i="2"/>
  <c r="BD32" i="2"/>
  <c r="AZ32" i="2"/>
  <c r="AV32" i="2"/>
  <c r="X32" i="2"/>
  <c r="U32" i="2"/>
  <c r="R32" i="2"/>
  <c r="AB31" i="2"/>
  <c r="Z31" i="2"/>
  <c r="X31" i="2"/>
  <c r="U31" i="2"/>
  <c r="R31" i="2"/>
  <c r="BK30" i="2"/>
  <c r="BE30" i="2"/>
  <c r="BA30" i="2"/>
  <c r="AW30" i="2"/>
  <c r="AB30" i="2"/>
  <c r="AA30" i="2"/>
  <c r="Z30" i="2"/>
  <c r="Y30" i="2"/>
  <c r="X30" i="2"/>
  <c r="U30" i="2"/>
  <c r="R30" i="2"/>
  <c r="BK29" i="2"/>
  <c r="BJ29" i="2"/>
  <c r="BE29" i="2"/>
  <c r="BD29" i="2"/>
  <c r="BA29" i="2"/>
  <c r="AZ29" i="2"/>
  <c r="AW29" i="2"/>
  <c r="AV29" i="2"/>
  <c r="R29" i="2"/>
  <c r="O29" i="2"/>
  <c r="BK28" i="2"/>
  <c r="BJ28" i="2"/>
  <c r="BE28" i="2"/>
  <c r="BD28" i="2"/>
  <c r="BA28" i="2"/>
  <c r="AZ28" i="2"/>
  <c r="AW28" i="2"/>
  <c r="AV28" i="2"/>
  <c r="R28" i="2"/>
  <c r="O28" i="2"/>
  <c r="BK27" i="2"/>
  <c r="BJ27" i="2"/>
  <c r="BE27" i="2"/>
  <c r="BD27" i="2"/>
  <c r="BA27" i="2"/>
  <c r="AZ27" i="2"/>
  <c r="AW27" i="2"/>
  <c r="AV27" i="2"/>
  <c r="R27" i="2"/>
  <c r="O27" i="2"/>
  <c r="BK26" i="2"/>
  <c r="BJ26" i="2"/>
  <c r="BE26" i="2"/>
  <c r="BD26" i="2"/>
  <c r="BA26" i="2"/>
  <c r="AZ26" i="2"/>
  <c r="AW26" i="2"/>
  <c r="AV26" i="2"/>
  <c r="R26" i="2"/>
  <c r="O26" i="2"/>
  <c r="BK25" i="2"/>
  <c r="BJ25" i="2"/>
  <c r="BE25" i="2"/>
  <c r="BD25" i="2"/>
  <c r="BA25" i="2"/>
  <c r="AZ25" i="2"/>
  <c r="AW25" i="2"/>
  <c r="AV25" i="2"/>
  <c r="AB25" i="2"/>
  <c r="AA25" i="2"/>
  <c r="Z25" i="2"/>
  <c r="Y25" i="2"/>
  <c r="R25" i="2"/>
  <c r="O25" i="2"/>
  <c r="BE24" i="2"/>
  <c r="BD24" i="2"/>
  <c r="BA24" i="2"/>
  <c r="AZ24" i="2"/>
  <c r="AW24" i="2"/>
  <c r="AV24" i="2"/>
  <c r="X23" i="2"/>
  <c r="U23" i="2"/>
  <c r="R23" i="2"/>
  <c r="O23" i="2"/>
  <c r="BE22" i="2"/>
  <c r="BD22" i="2"/>
  <c r="BA22" i="2"/>
  <c r="AZ22" i="2"/>
  <c r="AW22" i="2"/>
  <c r="AV22" i="2"/>
  <c r="R20" i="2"/>
  <c r="O20" i="2"/>
  <c r="R19" i="2"/>
  <c r="BK18" i="2"/>
  <c r="BH18" i="2"/>
  <c r="BJ18" i="2" s="1"/>
  <c r="BE18" i="2"/>
  <c r="BD18" i="2"/>
  <c r="BA18" i="2"/>
  <c r="AZ18" i="2"/>
  <c r="AW18" i="2"/>
  <c r="AV18" i="2"/>
  <c r="AA18" i="2"/>
  <c r="Y18" i="2"/>
  <c r="X18" i="2"/>
  <c r="U18" i="2"/>
  <c r="R18" i="2"/>
  <c r="BH17" i="2"/>
  <c r="BK17" i="2" s="1"/>
  <c r="BE17" i="2"/>
  <c r="BD17" i="2"/>
  <c r="BA17" i="2"/>
  <c r="AZ17" i="2"/>
  <c r="AW17" i="2"/>
  <c r="AV17" i="2"/>
  <c r="AA17" i="2"/>
  <c r="Y17" i="2"/>
  <c r="X17" i="2"/>
  <c r="U17" i="2"/>
  <c r="R17" i="2"/>
  <c r="BK16" i="2"/>
  <c r="BJ16" i="2"/>
  <c r="BE16" i="2"/>
  <c r="BD16" i="2"/>
  <c r="BA16" i="2"/>
  <c r="AZ16" i="2"/>
  <c r="AW16" i="2"/>
  <c r="AV16" i="2"/>
  <c r="AA16" i="2"/>
  <c r="Y16" i="2"/>
  <c r="X16" i="2"/>
  <c r="U16" i="2"/>
  <c r="R16" i="2"/>
  <c r="O16" i="2"/>
  <c r="BJ15" i="2"/>
  <c r="BD15" i="2"/>
  <c r="AZ15" i="2"/>
  <c r="AV15" i="2"/>
  <c r="AA15" i="2"/>
  <c r="Y15" i="2"/>
  <c r="X15" i="2"/>
  <c r="U15" i="2"/>
  <c r="R15" i="2"/>
  <c r="O15" i="2"/>
  <c r="AA14" i="2"/>
  <c r="Y14" i="2"/>
  <c r="X14" i="2"/>
  <c r="U14" i="2"/>
  <c r="R14" i="2"/>
  <c r="O14" i="2"/>
  <c r="BK13" i="2"/>
  <c r="BJ13" i="2"/>
  <c r="BE13" i="2"/>
  <c r="BD13" i="2"/>
  <c r="BA13" i="2"/>
  <c r="AZ13" i="2"/>
  <c r="AW13" i="2"/>
  <c r="AV13" i="2"/>
  <c r="AA13" i="2"/>
  <c r="Y13" i="2"/>
  <c r="X13" i="2"/>
  <c r="U13" i="2"/>
  <c r="R13" i="2"/>
  <c r="O13" i="2"/>
  <c r="BJ12" i="2"/>
  <c r="BD12" i="2"/>
  <c r="AZ12" i="2"/>
  <c r="AV12" i="2"/>
  <c r="AA12" i="2"/>
  <c r="Y12" i="2"/>
  <c r="X12" i="2"/>
  <c r="U12" i="2"/>
  <c r="R12" i="2"/>
  <c r="O12" i="2"/>
  <c r="BK11" i="2"/>
  <c r="BJ11" i="2"/>
  <c r="BE11" i="2"/>
  <c r="BD11" i="2"/>
  <c r="BA11" i="2"/>
  <c r="AZ11" i="2"/>
  <c r="AW11" i="2"/>
  <c r="AV11" i="2"/>
  <c r="AB11" i="2"/>
  <c r="Z11" i="2"/>
  <c r="X11" i="2"/>
  <c r="U11" i="2"/>
  <c r="R11" i="2"/>
  <c r="O11" i="2"/>
  <c r="DC10" i="2"/>
  <c r="DE10" i="2" s="1"/>
  <c r="BK10" i="2"/>
  <c r="BJ10" i="2"/>
  <c r="BE10" i="2"/>
  <c r="BD10" i="2"/>
  <c r="BA10" i="2"/>
  <c r="AZ10" i="2"/>
  <c r="AW10" i="2"/>
  <c r="AV10" i="2"/>
  <c r="AB10" i="2"/>
  <c r="AA10" i="2"/>
  <c r="Z10" i="2"/>
  <c r="Y10" i="2"/>
  <c r="X10" i="2"/>
  <c r="U10" i="2"/>
  <c r="Q10" i="2"/>
  <c r="P10" i="2"/>
  <c r="O10" i="2"/>
  <c r="BK9" i="2"/>
  <c r="BJ9" i="2"/>
  <c r="BB9" i="2"/>
  <c r="BE9" i="2" s="1"/>
  <c r="BA9" i="2"/>
  <c r="AZ9" i="2"/>
  <c r="AW9" i="2"/>
  <c r="AV9" i="2"/>
  <c r="U9" i="2"/>
  <c r="Q9" i="2"/>
  <c r="P9" i="2"/>
  <c r="O9" i="2"/>
  <c r="DC8" i="2"/>
  <c r="DE8" i="2" s="1"/>
  <c r="CH8" i="2"/>
  <c r="BS8" i="2"/>
  <c r="BK8" i="2"/>
  <c r="BJ8" i="2"/>
  <c r="BB8" i="2"/>
  <c r="BE8" i="2" s="1"/>
  <c r="BA8" i="2"/>
  <c r="AZ8" i="2"/>
  <c r="AW8" i="2"/>
  <c r="AV8" i="2"/>
  <c r="AB8" i="2"/>
  <c r="AA8" i="2"/>
  <c r="Z8" i="2"/>
  <c r="Y8" i="2"/>
  <c r="X8" i="2"/>
  <c r="U8" i="2"/>
  <c r="Q8" i="2"/>
  <c r="P8" i="2"/>
  <c r="R8" i="2" s="1"/>
  <c r="O8" i="2"/>
  <c r="BJ7" i="2"/>
  <c r="BD7" i="2"/>
  <c r="AZ7" i="2"/>
  <c r="AV7" i="2"/>
  <c r="AB7" i="2"/>
  <c r="AA7" i="2"/>
  <c r="Z7" i="2"/>
  <c r="Y7" i="2"/>
  <c r="R7" i="2"/>
  <c r="DC6" i="2"/>
  <c r="U6" i="2"/>
  <c r="Q6" i="2"/>
  <c r="P6" i="2"/>
  <c r="R6" i="2" s="1"/>
  <c r="O6" i="2"/>
  <c r="DC5" i="2"/>
  <c r="DE5" i="2" s="1"/>
  <c r="CH5" i="2"/>
  <c r="BK5" i="2"/>
  <c r="BJ5" i="2"/>
  <c r="BB5" i="2"/>
  <c r="BD5" i="2" s="1"/>
  <c r="BA5" i="2"/>
  <c r="AZ5" i="2"/>
  <c r="AX5" i="2"/>
  <c r="AW5" i="2"/>
  <c r="AV5" i="2"/>
  <c r="AP5" i="2"/>
  <c r="AB5" i="2"/>
  <c r="AA5" i="2"/>
  <c r="Z5" i="2"/>
  <c r="Y5" i="2"/>
  <c r="X5" i="2"/>
  <c r="U5" i="2"/>
  <c r="Q5" i="2"/>
  <c r="P5" i="2"/>
  <c r="O5" i="2"/>
  <c r="BJ17" i="2" l="1"/>
  <c r="BD8" i="2"/>
  <c r="R5" i="2"/>
  <c r="BD61" i="2"/>
  <c r="X126" i="2"/>
  <c r="R10" i="2"/>
  <c r="BD133" i="2"/>
  <c r="BD65" i="2"/>
  <c r="R9" i="2"/>
  <c r="BE50" i="2"/>
  <c r="BJ61" i="2"/>
  <c r="BE5" i="2"/>
  <c r="BA61" i="2"/>
  <c r="BD9" i="2"/>
</calcChain>
</file>

<file path=xl/sharedStrings.xml><?xml version="1.0" encoding="utf-8"?>
<sst xmlns="http://schemas.openxmlformats.org/spreadsheetml/2006/main" count="2375" uniqueCount="1091">
  <si>
    <t>General project information</t>
  </si>
  <si>
    <t>Host rock properties</t>
  </si>
  <si>
    <t>Country</t>
  </si>
  <si>
    <t>Location</t>
  </si>
  <si>
    <t>Latitude</t>
  </si>
  <si>
    <t>Longitude</t>
  </si>
  <si>
    <t>Project type</t>
  </si>
  <si>
    <t>Sub-class</t>
  </si>
  <si>
    <t>Formation name</t>
  </si>
  <si>
    <t>Stratigraphy</t>
  </si>
  <si>
    <t>country</t>
  </si>
  <si>
    <t>location</t>
  </si>
  <si>
    <t>latitude</t>
  </si>
  <si>
    <t>longitude</t>
  </si>
  <si>
    <t>project_type</t>
  </si>
  <si>
    <t>sub_class</t>
  </si>
  <si>
    <t>rock_formation</t>
  </si>
  <si>
    <t>rock_strat</t>
  </si>
  <si>
    <t>Algeria</t>
  </si>
  <si>
    <t>In Salah</t>
  </si>
  <si>
    <t>Geologic gas storage</t>
  </si>
  <si>
    <t>CCS</t>
  </si>
  <si>
    <t>Krechba</t>
  </si>
  <si>
    <t>Sandstone</t>
  </si>
  <si>
    <t>Israel</t>
  </si>
  <si>
    <t>Heletz</t>
  </si>
  <si>
    <t>Heletz sand</t>
  </si>
  <si>
    <t>unconsolidated sand</t>
  </si>
  <si>
    <t>Netherlands</t>
  </si>
  <si>
    <t>Bergermeer</t>
  </si>
  <si>
    <t>Natural gas storage</t>
  </si>
  <si>
    <t>Rotliegend sandstone</t>
  </si>
  <si>
    <t>Spain</t>
  </si>
  <si>
    <t>Castor</t>
  </si>
  <si>
    <t>Montsia structure</t>
  </si>
  <si>
    <t>Karstified carbonate</t>
  </si>
  <si>
    <t>Hontomín</t>
  </si>
  <si>
    <t>Injectivity tests with brine and CO2</t>
  </si>
  <si>
    <t>Sopeña</t>
  </si>
  <si>
    <t>Limestone and dolomite</t>
  </si>
  <si>
    <t>USA</t>
  </si>
  <si>
    <t>Decatur (CCS1), Illinois, demonstration site</t>
  </si>
  <si>
    <t>Mt Simon</t>
  </si>
  <si>
    <t>IL-ICCS (CCS2), Illinois, industry site</t>
  </si>
  <si>
    <t>Australia</t>
  </si>
  <si>
    <t>Cooper Basin (Habanero 1 restimulation)</t>
  </si>
  <si>
    <t>Geothermal energy</t>
  </si>
  <si>
    <t>EGS (injection)</t>
  </si>
  <si>
    <t>Innamincka Granite</t>
  </si>
  <si>
    <t>Granite</t>
  </si>
  <si>
    <t>Cooper Basin (Habanero 1)</t>
  </si>
  <si>
    <t>Cooper Basin (Habanero 3)</t>
  </si>
  <si>
    <t>Cooper Basin (Habanero 4)</t>
  </si>
  <si>
    <t>Cooper Basin (Jolokia 1)</t>
  </si>
  <si>
    <t>Paralana 2 (Diagnostic Fracture Injection Test)</t>
  </si>
  <si>
    <t>Sediments above basement</t>
  </si>
  <si>
    <t>Well Paralana 2</t>
  </si>
  <si>
    <t>Belgium</t>
  </si>
  <si>
    <t>Balmatt (MOL-GT-02)</t>
  </si>
  <si>
    <t>Geothermal (reinjeciton)</t>
  </si>
  <si>
    <t>Lower Carboniferous Limestone Group</t>
  </si>
  <si>
    <t>limestone</t>
  </si>
  <si>
    <t>El Salvador</t>
  </si>
  <si>
    <t>Berlín (Well TR8A)</t>
  </si>
  <si>
    <t>Berlin Formation</t>
  </si>
  <si>
    <t>Young volcanic</t>
  </si>
  <si>
    <t>Finland</t>
  </si>
  <si>
    <t>Helsinki</t>
  </si>
  <si>
    <t>EGS (Stimulation)</t>
  </si>
  <si>
    <t>Precambrian Svecofennian basement rocks</t>
  </si>
  <si>
    <t>granites, pegmatites, gneisses, and amphibolites</t>
  </si>
  <si>
    <t>France</t>
  </si>
  <si>
    <t>La Wantzenau, Strasbourg</t>
  </si>
  <si>
    <t>EGS (Hydraulic test)</t>
  </si>
  <si>
    <t>Rittershoffen, Alsace</t>
  </si>
  <si>
    <t>Granite and Sandstone</t>
  </si>
  <si>
    <t>Robertsau, Strasbourg</t>
  </si>
  <si>
    <t>Soultz (GPK-1)</t>
  </si>
  <si>
    <t>Palaeozoic granitic basement</t>
  </si>
  <si>
    <t>Soultz (GPK-2)</t>
  </si>
  <si>
    <t>Soultz (GPK-2)- restimulation</t>
  </si>
  <si>
    <t>Soultz (GPK-3)</t>
  </si>
  <si>
    <t>Soultz (GPK-4)</t>
  </si>
  <si>
    <t>Germany</t>
  </si>
  <si>
    <t>Bad Urach</t>
  </si>
  <si>
    <t>Gneiss</t>
  </si>
  <si>
    <t>GeneSys, Hannover</t>
  </si>
  <si>
    <t>Solling formation (Buntsandstone)</t>
  </si>
  <si>
    <t>Groẞ-Schönebeck</t>
  </si>
  <si>
    <t>Sandstone and Volcanic</t>
  </si>
  <si>
    <t>Insheim</t>
  </si>
  <si>
    <t>Porphyritic granite</t>
  </si>
  <si>
    <t>EGS (circulation)</t>
  </si>
  <si>
    <t>Landau</t>
  </si>
  <si>
    <t>Granite, Sandstone and Carbonate</t>
  </si>
  <si>
    <t>Unterhaching</t>
  </si>
  <si>
    <t>Malm limestone</t>
  </si>
  <si>
    <t>karstic limestone</t>
  </si>
  <si>
    <t>Iceland</t>
  </si>
  <si>
    <t>Hellisheiði (Húsmúli reinjection site)</t>
  </si>
  <si>
    <t>Geothermal (reinjection)</t>
  </si>
  <si>
    <t>Basalt</t>
  </si>
  <si>
    <t>Hellisheiði (Well HE-8)</t>
  </si>
  <si>
    <t>Geothermal (drilling and stimulation)</t>
  </si>
  <si>
    <t>Hellisheiði(Gráuhnjúkar reinjection site)</t>
  </si>
  <si>
    <t>Krafla</t>
  </si>
  <si>
    <t xml:space="preserve">Laugaland (Eyjafjördur), North IS </t>
  </si>
  <si>
    <t>Laugaland (Holtum) and Kaldárholt, South IS</t>
  </si>
  <si>
    <t>Nesjavellir</t>
  </si>
  <si>
    <t>Reykjanes</t>
  </si>
  <si>
    <t>Geothermal (extraction and reinjection)</t>
  </si>
  <si>
    <t>Volcanics</t>
  </si>
  <si>
    <t>Svartsengi (Central part)</t>
  </si>
  <si>
    <t>Svartsengi (Pheriphery)</t>
  </si>
  <si>
    <t>Italy</t>
  </si>
  <si>
    <t>Latera</t>
  </si>
  <si>
    <t>Carbonate</t>
  </si>
  <si>
    <t>Japan</t>
  </si>
  <si>
    <t>Hijiori (SkG-2 circulation)</t>
  </si>
  <si>
    <t>Granodiorite</t>
  </si>
  <si>
    <t>Hijiori (SKG-2 injection/stimulation)</t>
  </si>
  <si>
    <t>Ogachi (OGC-1)</t>
  </si>
  <si>
    <t>Lithuania</t>
  </si>
  <si>
    <t>Curonian Lagoon</t>
  </si>
  <si>
    <t>Geothermal (extraction)</t>
  </si>
  <si>
    <t>Lower Viesville formation</t>
  </si>
  <si>
    <t>Mexico</t>
  </si>
  <si>
    <t>Cerro Prieto (Imperial Valley)</t>
  </si>
  <si>
    <t>Metamorphosed sandstones and shales intruded by dykes</t>
  </si>
  <si>
    <t>Los Humeros</t>
  </si>
  <si>
    <t>Basalt and Andesite</t>
  </si>
  <si>
    <t>New Zealand</t>
  </si>
  <si>
    <t>Mokai</t>
  </si>
  <si>
    <t>Ngatamariki</t>
  </si>
  <si>
    <t>Tahorakuri</t>
  </si>
  <si>
    <t>Volcaniclastics with andesitic lava</t>
  </si>
  <si>
    <t>Rotokawa</t>
  </si>
  <si>
    <t>Volcanics (Andesite)</t>
  </si>
  <si>
    <t>South Korea</t>
  </si>
  <si>
    <t>Pohang (PX-1)</t>
  </si>
  <si>
    <t>Pohang (PX-2)</t>
  </si>
  <si>
    <t>EGS</t>
  </si>
  <si>
    <t>Granodiorite with gabbroic dykes</t>
  </si>
  <si>
    <t>Sweden</t>
  </si>
  <si>
    <t>Fjällbacka</t>
  </si>
  <si>
    <t>Bohus granite</t>
  </si>
  <si>
    <t>Switzerland</t>
  </si>
  <si>
    <t>Basel</t>
  </si>
  <si>
    <t>St. Gallen</t>
  </si>
  <si>
    <t>Geothermal (injection and production)</t>
  </si>
  <si>
    <t>UK</t>
  </si>
  <si>
    <t>Rosemanowes</t>
  </si>
  <si>
    <t>Carnmenellis granite</t>
  </si>
  <si>
    <t>United Downs Deep Geothermal Power Project</t>
  </si>
  <si>
    <t>Cornubian Batholith</t>
  </si>
  <si>
    <t>Batholith</t>
  </si>
  <si>
    <t>Coso</t>
  </si>
  <si>
    <t>EGS (stimulation)</t>
  </si>
  <si>
    <t>Diorite, Granodiorite and Granite</t>
  </si>
  <si>
    <t>Desert Peak, Nevada</t>
  </si>
  <si>
    <t>Volcanics and metamorphics</t>
  </si>
  <si>
    <t>Fenton Hill, New Mexico</t>
  </si>
  <si>
    <t>Newberry</t>
  </si>
  <si>
    <t>Intruded John Day</t>
  </si>
  <si>
    <t>Salton Sea, California</t>
  </si>
  <si>
    <t>Alter sandstone, siltstone and shale</t>
  </si>
  <si>
    <t>The Geysers</t>
  </si>
  <si>
    <t>Metamorphics and Igneous</t>
  </si>
  <si>
    <t>Canada</t>
  </si>
  <si>
    <t>116 km WNW of Fort St. John, British Columbia</t>
  </si>
  <si>
    <t>Hydraulic fracturing</t>
  </si>
  <si>
    <t>Fracking (injection)</t>
  </si>
  <si>
    <t>Montney Siltstone</t>
  </si>
  <si>
    <t>Shale</t>
  </si>
  <si>
    <t>16 km SW Fort St. John-Dawson Creek</t>
  </si>
  <si>
    <t>Altares (Montney Trend)</t>
  </si>
  <si>
    <t>Montney Trend</t>
  </si>
  <si>
    <t>Beg-Town (Montney Trend)</t>
  </si>
  <si>
    <t>Shale, Siltstone</t>
  </si>
  <si>
    <t>Cardston, Alberta (Ninastoko field)</t>
  </si>
  <si>
    <t>Exshaw play</t>
  </si>
  <si>
    <t>Caribou (Montney Trend)</t>
  </si>
  <si>
    <t>Doe-Dawson (Montney Trend)</t>
  </si>
  <si>
    <t>Duvernay East Shale Basin 10 (Red Deer)</t>
  </si>
  <si>
    <t>Duvernay shale</t>
  </si>
  <si>
    <t>Fox Creek (SS1, SS4)</t>
  </si>
  <si>
    <t>Fox Creek (SS10)</t>
  </si>
  <si>
    <t>Fox Creek (SS11)</t>
  </si>
  <si>
    <t>Fox Creek (SS12)</t>
  </si>
  <si>
    <t>Fox Creek (SS13)</t>
  </si>
  <si>
    <t>Fox Creek (SS14)</t>
  </si>
  <si>
    <t>Fox Creek (SS15)</t>
  </si>
  <si>
    <t>Fox Creek (SS16)</t>
  </si>
  <si>
    <t>Fox Creek (SS17)</t>
  </si>
  <si>
    <t>Fox Creek (SS2)</t>
  </si>
  <si>
    <t>Fox Creek (SS3)</t>
  </si>
  <si>
    <t>Fox Creek (SS5)</t>
  </si>
  <si>
    <t>Fox Creek (SS6) Alberta (Waskahigan and McKinley fields) (Well Pad 1)</t>
  </si>
  <si>
    <t>Fox Creek (SS7) (Well Pad 3)</t>
  </si>
  <si>
    <t>Fox Creek (SS8) (Well Pad 2)</t>
  </si>
  <si>
    <t>Fox Creek (SS9) (Well Pad 6)</t>
  </si>
  <si>
    <t>Fox Creek (Well Pad 4)</t>
  </si>
  <si>
    <t>Fox Creek (Well Pad 5)</t>
  </si>
  <si>
    <t>Horn River Basin</t>
  </si>
  <si>
    <t>Muskwa, Otter Park and Evie shales</t>
  </si>
  <si>
    <t>Horn River Basin (Etsho and Kiwigana fields)</t>
  </si>
  <si>
    <t>Upper Montney Trend</t>
  </si>
  <si>
    <t>Siltstone</t>
  </si>
  <si>
    <t>Septimus (Montney Trend)</t>
  </si>
  <si>
    <t>Siltsone</t>
  </si>
  <si>
    <t>Tony Creek dual Microseismic Experiment (ToC2ME), Fox Creek, Alberta</t>
  </si>
  <si>
    <t>Ireton Shale</t>
  </si>
  <si>
    <t>China</t>
  </si>
  <si>
    <t>H7 well pad, Shangluo site, Zhaotong field</t>
  </si>
  <si>
    <t xml:space="preserve">Silurian Longmaxi </t>
  </si>
  <si>
    <t>N201-H18 well pad, Changning shale gas block, Sichuan Province</t>
  </si>
  <si>
    <t>Silurian Longmaxi</t>
  </si>
  <si>
    <t>N201-H24 well pad, Changning shale gas block, Sichuan Province</t>
  </si>
  <si>
    <t>Wufeng-Longmaxi</t>
  </si>
  <si>
    <t>Rongxian County, Sichuan Basin</t>
  </si>
  <si>
    <t>Shale, Marlstone</t>
  </si>
  <si>
    <t>Shuanghe, Changning County, Sichuan</t>
  </si>
  <si>
    <t>Fracking (injection) and deep well injection for salt mining</t>
  </si>
  <si>
    <t>Changing Anticline Structure</t>
  </si>
  <si>
    <t>Rock Salt</t>
  </si>
  <si>
    <t>Weiyuan site</t>
  </si>
  <si>
    <t>Poland</t>
  </si>
  <si>
    <t>Wysin Site (Well 2H)</t>
  </si>
  <si>
    <t>Wysin Site (Well 3H)</t>
  </si>
  <si>
    <t>Preese Hall (Stage 2)</t>
  </si>
  <si>
    <t>Bowland</t>
  </si>
  <si>
    <t>Preese Hall (Stage 4)</t>
  </si>
  <si>
    <t>Preston New Road (PNR-1Z)</t>
  </si>
  <si>
    <t>Bowland (Lower)</t>
  </si>
  <si>
    <t>Preston New Road (PNR-2)</t>
  </si>
  <si>
    <t>Bowland (Upper)</t>
  </si>
  <si>
    <t>Bienville Parish, Louisiana</t>
  </si>
  <si>
    <t>Fracking (injection+production?)</t>
  </si>
  <si>
    <t>Haynesville Play</t>
  </si>
  <si>
    <t>Carthage, Cotton Valley Field, Panola County, Texas</t>
  </si>
  <si>
    <t>Cotton Valley</t>
  </si>
  <si>
    <t>Eagleton 1-29, Wilson, Oklahoma</t>
  </si>
  <si>
    <t>Eastern Panhandle Texas (Cluster C)</t>
  </si>
  <si>
    <t>Granite Wash Play, Andarko Basin</t>
  </si>
  <si>
    <t>Edinburg, Pennsylvania</t>
  </si>
  <si>
    <t>Utica Shale</t>
  </si>
  <si>
    <t>Eola-Robberson field, Oklahoma</t>
  </si>
  <si>
    <t>Woodford and Viola, Ardmore Basin</t>
  </si>
  <si>
    <t>Garvin County, Eola field, OK</t>
  </si>
  <si>
    <t>Woodford shale and Viola lime</t>
  </si>
  <si>
    <t>Hughes County, Oklahoma</t>
  </si>
  <si>
    <t>Woodford Shale, Ardmore Basin</t>
  </si>
  <si>
    <t>Jonah field, Wyoming</t>
  </si>
  <si>
    <t>Lance Formation</t>
  </si>
  <si>
    <t>Poland Township, Ohio</t>
  </si>
  <si>
    <t>Utica-Point Pleasant</t>
  </si>
  <si>
    <t>Ryser wells, Harrison County, Ohio</t>
  </si>
  <si>
    <t>University of Toronto</t>
  </si>
  <si>
    <t>Research</t>
  </si>
  <si>
    <t>laboratory hydraulic fracture experiments</t>
  </si>
  <si>
    <t>Westerly granite</t>
  </si>
  <si>
    <t>WFSD-3P</t>
  </si>
  <si>
    <t>Research (injection)</t>
  </si>
  <si>
    <t>Triassic Xujiahe formation</t>
  </si>
  <si>
    <t>siltstone, fault breccia and gouge</t>
  </si>
  <si>
    <t>Laboratoire Souterrain Bas Bruit (LSBB)</t>
  </si>
  <si>
    <t>Stimulation</t>
  </si>
  <si>
    <t>Tournemire underground laboratory</t>
  </si>
  <si>
    <t>In-situ fault slip experiment</t>
  </si>
  <si>
    <t>Toarcian shale</t>
  </si>
  <si>
    <t>Eastern Bavaria</t>
  </si>
  <si>
    <t>Deep fluid injection</t>
  </si>
  <si>
    <t>Helmholtz Centre Potsdam</t>
  </si>
  <si>
    <t>Laboratory fault slip experiment</t>
  </si>
  <si>
    <t>Bentheim sandstone</t>
  </si>
  <si>
    <t>Matsushiro</t>
  </si>
  <si>
    <t>Water injection</t>
  </si>
  <si>
    <t>Volcanics (Basalt, Andesite and Tuff), Shale and Quartz-diorite</t>
  </si>
  <si>
    <t>Nojima</t>
  </si>
  <si>
    <t>Philippines</t>
  </si>
  <si>
    <t>Tongonan Geothermal field</t>
  </si>
  <si>
    <t>Mahanagdong Claystone formation and Mahiao Sedimentary Complex formation</t>
  </si>
  <si>
    <t>claystone,siltstone, sandstone, and the conglomerate containing quartz and monzodiorite fragments</t>
  </si>
  <si>
    <t>Äspö Hard Rock Laboratory</t>
  </si>
  <si>
    <t>Fracturing</t>
  </si>
  <si>
    <t>Ävrö granodiorite</t>
  </si>
  <si>
    <t xml:space="preserve">Grimsel </t>
  </si>
  <si>
    <t>Aar Massive</t>
  </si>
  <si>
    <t>Granodiorites and granites</t>
  </si>
  <si>
    <t>Mont-Terri Laboratory (FS experiment)</t>
  </si>
  <si>
    <t>Opalinus caly</t>
  </si>
  <si>
    <t>shaly facies</t>
  </si>
  <si>
    <t>Penn. State University</t>
  </si>
  <si>
    <t>Schist</t>
  </si>
  <si>
    <t xml:space="preserve">Rongchang gas field </t>
  </si>
  <si>
    <t>Wastewater disposal</t>
  </si>
  <si>
    <t>Wastewater injection</t>
  </si>
  <si>
    <t>Carbonarte</t>
  </si>
  <si>
    <t>Val d'Agri oil field (CM2 well)</t>
  </si>
  <si>
    <t>Upper Cretaceous-upper Miocene</t>
  </si>
  <si>
    <t>Arkansas</t>
  </si>
  <si>
    <t>Boone Formation, Hunton Group and Arbuckle/Knox Group</t>
  </si>
  <si>
    <t>limestone and dolostone</t>
  </si>
  <si>
    <t>Ashtabula, Ohio</t>
  </si>
  <si>
    <t>Mt. Simon (basal) Sandstone</t>
  </si>
  <si>
    <t>Azle/Reno,Texas</t>
  </si>
  <si>
    <t>Gas/Brine extraction and Wastewater (injection)</t>
  </si>
  <si>
    <t>Ellenburger carbonates</t>
  </si>
  <si>
    <t>Cleburne, Texas</t>
  </si>
  <si>
    <t>Cushing, Oklahoma</t>
  </si>
  <si>
    <t>Arbuckle group</t>
  </si>
  <si>
    <t>Limestone and crystalline Basement</t>
  </si>
  <si>
    <t>Dallas-Fort Worth Airport, Texas</t>
  </si>
  <si>
    <t>El Dorado, Arkansas</t>
  </si>
  <si>
    <t>Smackover Formation</t>
  </si>
  <si>
    <t>Cockfield sand</t>
  </si>
  <si>
    <t>Fairview, Oklahoma</t>
  </si>
  <si>
    <t>Arbuckle (Group) limestone, Troy granite and Roosevelt gabbro</t>
  </si>
  <si>
    <t>Guthrie, Oklahoma</t>
  </si>
  <si>
    <t>Jones, Oklahoma</t>
  </si>
  <si>
    <t>Arbuckle Group</t>
  </si>
  <si>
    <t>Dolomitized limestone</t>
  </si>
  <si>
    <t>Kern River, Kern County, California</t>
  </si>
  <si>
    <t>Mentone, West Texas</t>
  </si>
  <si>
    <t>Painesville (Perry), Ohio</t>
  </si>
  <si>
    <t>Paradox Valley, Colorado</t>
  </si>
  <si>
    <t>Leadville Limestone, partially injected in precambrian aphanitic schist</t>
  </si>
  <si>
    <t>Carbonate, Sandstone and Schist</t>
  </si>
  <si>
    <t>Pawnee, Oklahoma</t>
  </si>
  <si>
    <t>limestone and crystalline Basement</t>
  </si>
  <si>
    <t>Prague, Oklahoma</t>
  </si>
  <si>
    <t>Raton Basin, Colorado and New Mexico</t>
  </si>
  <si>
    <t>Dakota Sandstone, Morrison Formation, and Entrada Sandstone</t>
  </si>
  <si>
    <t>Tejon, Central Valley (WWF), Kern County, California</t>
  </si>
  <si>
    <t>Monterey Formation</t>
  </si>
  <si>
    <t>Timpson, East Texas</t>
  </si>
  <si>
    <t>Rodessa Formation</t>
  </si>
  <si>
    <t>Venus, Texas</t>
  </si>
  <si>
    <t>Youngstown, Ohio</t>
  </si>
  <si>
    <t>Site characteristics</t>
  </si>
  <si>
    <t>Fault properties</t>
  </si>
  <si>
    <t>Injection data</t>
  </si>
  <si>
    <t>Induced seismicity information</t>
  </si>
  <si>
    <t xml:space="preserve">Information related to the Max. magnitude </t>
  </si>
  <si>
    <t>Complementary remakrs</t>
  </si>
  <si>
    <t>Data sources</t>
  </si>
  <si>
    <t>Fracture density (count/m)</t>
  </si>
  <si>
    <t>Density (kg/m3)</t>
  </si>
  <si>
    <t>Porosity</t>
  </si>
  <si>
    <t>Permeability (m2)</t>
  </si>
  <si>
    <t>Young´s modulus (GPa)</t>
  </si>
  <si>
    <t>Poisson´s ratio</t>
  </si>
  <si>
    <t>Bulk modulus (GPa)</t>
  </si>
  <si>
    <t>Shear modulus (GPa)</t>
  </si>
  <si>
    <t>Biot Coef.</t>
  </si>
  <si>
    <t>Friction angle (°)</t>
  </si>
  <si>
    <t>Cohesion (MPa)</t>
  </si>
  <si>
    <t>UCS (MPa)</t>
  </si>
  <si>
    <t>T0 (MPa)</t>
  </si>
  <si>
    <t>Thermal Conductivity (W/mK)</t>
  </si>
  <si>
    <t>Thermal exp. coef. (1/K)</t>
  </si>
  <si>
    <t>Depth of basement (m)</t>
  </si>
  <si>
    <t>Stress regime</t>
  </si>
  <si>
    <t>Sv (MPa)</t>
  </si>
  <si>
    <t>SHmax (MPa)</t>
  </si>
  <si>
    <t>Shmin (MPa)</t>
  </si>
  <si>
    <t>SHmax direction</t>
  </si>
  <si>
    <t>Pressure (MPa)</t>
  </si>
  <si>
    <t xml:space="preserve">Temperature (C) </t>
  </si>
  <si>
    <t>Fault strike</t>
  </si>
  <si>
    <t>dip (°)</t>
  </si>
  <si>
    <t>Fault dip direction</t>
  </si>
  <si>
    <t>Fault name</t>
  </si>
  <si>
    <t>Fault type</t>
  </si>
  <si>
    <t>Fault thickness (m)</t>
  </si>
  <si>
    <t>Core thickness (m)</t>
  </si>
  <si>
    <t>Fault distance from Inj. (m)</t>
  </si>
  <si>
    <t>Intersection depth (m)</t>
  </si>
  <si>
    <t>Normal stiffness, Kn (GPa/m)</t>
  </si>
  <si>
    <t>Shear stiffness, Ks (GPa/m)</t>
  </si>
  <si>
    <t>Dilation angle (°)</t>
  </si>
  <si>
    <t>Poisson´s ratio (-)</t>
  </si>
  <si>
    <t>Depth of injection (m)</t>
  </si>
  <si>
    <t>Injection type</t>
  </si>
  <si>
    <t>Injection start date</t>
  </si>
  <si>
    <t>Fluid type</t>
  </si>
  <si>
    <t xml:space="preserve">Injection Temp. (C) </t>
  </si>
  <si>
    <t>Max. Injection rate (m3/s)</t>
  </si>
  <si>
    <t>Injected volume (m3)</t>
  </si>
  <si>
    <t>Net Inj. volume (m3)</t>
  </si>
  <si>
    <t>Max. wellhead pressure (MPa)</t>
  </si>
  <si>
    <t>Max. Bottomhole pressure (MPa)</t>
  </si>
  <si>
    <t>Seismicity onset</t>
  </si>
  <si>
    <t>Time between injection and first seismicity (d)</t>
  </si>
  <si>
    <t>Number of events</t>
  </si>
  <si>
    <t>Depth of seismicities</t>
  </si>
  <si>
    <t>Before injection</t>
  </si>
  <si>
    <t>During injection</t>
  </si>
  <si>
    <t>After injection</t>
  </si>
  <si>
    <t>Max. M</t>
  </si>
  <si>
    <t>Type of Max. M</t>
  </si>
  <si>
    <t>Depth of Max. M (m)</t>
  </si>
  <si>
    <t>Distance from Inj. (m)</t>
  </si>
  <si>
    <t>Date of Max. M</t>
  </si>
  <si>
    <t>reason</t>
  </si>
  <si>
    <t>comment</t>
  </si>
  <si>
    <t>min</t>
  </si>
  <si>
    <t>max</t>
  </si>
  <si>
    <t>average</t>
  </si>
  <si>
    <t>a</t>
  </si>
  <si>
    <t>b</t>
  </si>
  <si>
    <t>from</t>
  </si>
  <si>
    <t>to</t>
  </si>
  <si>
    <t>Min.</t>
  </si>
  <si>
    <t>Max.</t>
  </si>
  <si>
    <t>rock_fr_dens_min</t>
  </si>
  <si>
    <t>rock_fr_dens_max</t>
  </si>
  <si>
    <t>rock_dens_min</t>
  </si>
  <si>
    <t>rock_dens_max</t>
  </si>
  <si>
    <t>rock_poro_min</t>
  </si>
  <si>
    <t>rock_poro_max</t>
  </si>
  <si>
    <t>rock_poro_mean</t>
  </si>
  <si>
    <t>rock_perm_min</t>
  </si>
  <si>
    <t>rock_perm_max</t>
  </si>
  <si>
    <t>rock_perm_mean</t>
  </si>
  <si>
    <t>rock_E_min</t>
  </si>
  <si>
    <t>rock_E_max</t>
  </si>
  <si>
    <t>rock_E_mean</t>
  </si>
  <si>
    <t>rock_nu_min</t>
  </si>
  <si>
    <t>rock_nu_max</t>
  </si>
  <si>
    <t>rock_nu_mean</t>
  </si>
  <si>
    <t>rock_K_min</t>
  </si>
  <si>
    <t>rock_K_max</t>
  </si>
  <si>
    <t>rock_G_min</t>
  </si>
  <si>
    <t>rock_biot_min</t>
  </si>
  <si>
    <t>rock_biot_max</t>
  </si>
  <si>
    <t>rock_phi_min</t>
  </si>
  <si>
    <t>rock_phi_max</t>
  </si>
  <si>
    <t>rock_c_min</t>
  </si>
  <si>
    <t>rock_c_max</t>
  </si>
  <si>
    <t>rock_ucs_min</t>
  </si>
  <si>
    <t>rock_ucs_max</t>
  </si>
  <si>
    <t>rock_T0_min</t>
  </si>
  <si>
    <t>rock_T0_max</t>
  </si>
  <si>
    <t>rock_lambda_min</t>
  </si>
  <si>
    <t>rock_lambda_max</t>
  </si>
  <si>
    <t>rock_beta_min</t>
  </si>
  <si>
    <t>rock_beta_max</t>
  </si>
  <si>
    <t>site_depth_bas_min</t>
  </si>
  <si>
    <t>site_depth_bas_max</t>
  </si>
  <si>
    <t>site_s_reg</t>
  </si>
  <si>
    <t>site_sv_a</t>
  </si>
  <si>
    <t>site_sv_b</t>
  </si>
  <si>
    <t>site_sv_min</t>
  </si>
  <si>
    <t>site_sv_max</t>
  </si>
  <si>
    <t>site_shmax_a</t>
  </si>
  <si>
    <t>site_shmax_b</t>
  </si>
  <si>
    <t>site_shmax_min</t>
  </si>
  <si>
    <t>site_shmax_max</t>
  </si>
  <si>
    <t>site_shmin_a</t>
  </si>
  <si>
    <t>site_shmin_b</t>
  </si>
  <si>
    <t>site_shmin_min</t>
  </si>
  <si>
    <t>site_shmin_max</t>
  </si>
  <si>
    <t>site_shmax_dir_min</t>
  </si>
  <si>
    <t>site_shmax_dir_max</t>
  </si>
  <si>
    <t>site_p_a</t>
  </si>
  <si>
    <t>site_p_b</t>
  </si>
  <si>
    <t>site_p_min</t>
  </si>
  <si>
    <t>site_p_max</t>
  </si>
  <si>
    <t>site_T_min</t>
  </si>
  <si>
    <t>site_T_max</t>
  </si>
  <si>
    <t>fault_strike_min</t>
  </si>
  <si>
    <t>fault_strike_max</t>
  </si>
  <si>
    <t>fault_dip_min</t>
  </si>
  <si>
    <t>fault_dip_max</t>
  </si>
  <si>
    <t>fault_dip_dir_min</t>
  </si>
  <si>
    <t>fault_dip_dir_max</t>
  </si>
  <si>
    <t>fault_name</t>
  </si>
  <si>
    <t>fault_type</t>
  </si>
  <si>
    <t>fault_thick_min</t>
  </si>
  <si>
    <t>fault_thick_max</t>
  </si>
  <si>
    <t>fault_core_thick_min</t>
  </si>
  <si>
    <t>fault_core_thick_max</t>
  </si>
  <si>
    <t>fault_dist_inj</t>
  </si>
  <si>
    <t>fault_inj_depth_min</t>
  </si>
  <si>
    <t>fault_inj_depth_max</t>
  </si>
  <si>
    <t>fault_dens_min</t>
  </si>
  <si>
    <t>fault_dens_max</t>
  </si>
  <si>
    <t>fault_poro_min</t>
  </si>
  <si>
    <t>fault_poro_max</t>
  </si>
  <si>
    <t>fault_perm_min</t>
  </si>
  <si>
    <t>fault_perm_max</t>
  </si>
  <si>
    <t>fault_Kn_min</t>
  </si>
  <si>
    <t>fault_Kn_max</t>
  </si>
  <si>
    <t>fault_Ks_min</t>
  </si>
  <si>
    <t>fault_Ks_max</t>
  </si>
  <si>
    <t>fault_psi_min</t>
  </si>
  <si>
    <t>fault_psi_max</t>
  </si>
  <si>
    <t>fault_E_min</t>
  </si>
  <si>
    <t>fault_E_max</t>
  </si>
  <si>
    <t>fault_nu_min</t>
  </si>
  <si>
    <t>fault_nu_max</t>
  </si>
  <si>
    <t>fault_phi_min</t>
  </si>
  <si>
    <t>fault_phi_max</t>
  </si>
  <si>
    <t>inj_depth_min</t>
  </si>
  <si>
    <t>inj_depth_max</t>
  </si>
  <si>
    <t>inj_type</t>
  </si>
  <si>
    <t>int_start</t>
  </si>
  <si>
    <t>inj_fluid</t>
  </si>
  <si>
    <t>inj_T</t>
  </si>
  <si>
    <t>inj_rate_max</t>
  </si>
  <si>
    <t>inj_vol_min</t>
  </si>
  <si>
    <t>inj_vol_max</t>
  </si>
  <si>
    <t>inj_net_vol_min</t>
  </si>
  <si>
    <t>inj_net_vol_max</t>
  </si>
  <si>
    <t>inj_up_p</t>
  </si>
  <si>
    <t>inj_down_p</t>
  </si>
  <si>
    <t>seism_onset</t>
  </si>
  <si>
    <t>seism_time_shift_onset</t>
  </si>
  <si>
    <t>seism_events</t>
  </si>
  <si>
    <t>seism_depth_min</t>
  </si>
  <si>
    <t>seism_depth_max</t>
  </si>
  <si>
    <t>seism_a_before</t>
  </si>
  <si>
    <t>seism_b_before</t>
  </si>
  <si>
    <t>seism_a_during</t>
  </si>
  <si>
    <t>seism_b_during</t>
  </si>
  <si>
    <t>seism_a_after</t>
  </si>
  <si>
    <t>seism_b_after</t>
  </si>
  <si>
    <t>moment_max</t>
  </si>
  <si>
    <t>moment_max_type</t>
  </si>
  <si>
    <t>moment_max_depth_min</t>
  </si>
  <si>
    <t>moment_max_depth_max</t>
  </si>
  <si>
    <t>moment_distance</t>
  </si>
  <si>
    <t>moment_date</t>
  </si>
  <si>
    <t>data_sources</t>
  </si>
  <si>
    <t>SS</t>
  </si>
  <si>
    <t>NW-SE</t>
  </si>
  <si>
    <t>Fractured zone</t>
  </si>
  <si>
    <t>SS-NF</t>
  </si>
  <si>
    <t>CO2 injection through 3 horizontal wells</t>
  </si>
  <si>
    <t>CO2</t>
  </si>
  <si>
    <t>Mw</t>
  </si>
  <si>
    <t>Pore pressure buildup due to CO2 injection</t>
  </si>
  <si>
    <t>Injection into gas field but no apparent connection between water leg and produced gas cap. Volume assuming liquid CO2 density of 1100 kg/m3</t>
  </si>
  <si>
    <t>Oye et al. (2013), Stork et al. (2015), Verdon et al. (2013, 2015), Iding and Ringrose (2011), Rutqvist et al. (2010), Rutqvist (2012), Morris et al. (2011), Vilarrasa et al. (2015, 2017, 2019)</t>
  </si>
  <si>
    <t>NF/SS</t>
  </si>
  <si>
    <t>N130E</t>
  </si>
  <si>
    <t>N160E</t>
  </si>
  <si>
    <t>Pumping and injection tests with brine, tracers and CO2</t>
  </si>
  <si>
    <t>brine, CO2</t>
  </si>
  <si>
    <t>not reported</t>
  </si>
  <si>
    <t>Niemi et al. (2016, 2020), Vilarrasa et al., (2019)</t>
  </si>
  <si>
    <t>NF</t>
  </si>
  <si>
    <t>Cushion gas injection</t>
  </si>
  <si>
    <t>Natural gas</t>
  </si>
  <si>
    <t>Heterogeneities of the fault can explain local seismicities during cushion gas injection. After that, the seismicity rate has been significantly declined as the fault got strengthened (Kaiser effect). Cooling effect could also impose minor impacts on the fault stability</t>
  </si>
  <si>
    <t>The reservoir has experienced significant pressure reduction and large earthquakes during the reservoir depletion</t>
  </si>
  <si>
    <t>Fenix Consulting Delft, B.V. (2018), Muntendam-Bos et al. (2008), Muntendam-Bos et al. (2021), Qcon GmbH (2016), TNO (2014)</t>
  </si>
  <si>
    <t>N26E</t>
  </si>
  <si>
    <t>Amposta</t>
  </si>
  <si>
    <t>1002, 0≤MLG≤4, 13 M&gt;13, 3 M&gt;4 (05/09/2013-15/10/2013)</t>
  </si>
  <si>
    <t>Complex interaction with non-hydraulically connected crystalline basement</t>
  </si>
  <si>
    <t>Likely induced/triggered</t>
  </si>
  <si>
    <t>Cesca et al. (2014). Batchelor et al. (2007), Jaunes et al. (2017), Schindler et al. (1998), Gaite et al. (2016), Villaseñor et al. (2020), Ruiz-Barajas et al. (2017)</t>
  </si>
  <si>
    <t>N50E</t>
  </si>
  <si>
    <t>Brine, brine with dissolved CO2 and CO2 injection</t>
  </si>
  <si>
    <t>a few</t>
  </si>
  <si>
    <t>de Dios et al. (2017), Lopez-Perez et al. (2020)</t>
  </si>
  <si>
    <t>N68E</t>
  </si>
  <si>
    <t>N40E</t>
  </si>
  <si>
    <t>CO2 injection through a vertical well</t>
  </si>
  <si>
    <t>Pore pressure buildup and poroelastic stresses, due to CO2 injection, of faults in the crystalline basement</t>
  </si>
  <si>
    <t>Volume assuming liquid CO2 density of 1100 kg/m3</t>
  </si>
  <si>
    <t>Bondarenko et al. (2021), Kaven et al. (2015), Luu et al. (2022), Vilarrasa et al. (2019), Bauer et al. (2016), Goertz-Allmann et al. (2017), Williams-Stroud et al. (2020), Yang et al. (2018)</t>
  </si>
  <si>
    <t>Much less than IBDP (CCS1)</t>
  </si>
  <si>
    <t>Low permeability mudstone baffles of 3-5 m thickness below the injection interval have restricted pressure migration downward to the basement and, thus, the rate of seismicity has been significantly lower than CCS1.</t>
  </si>
  <si>
    <t>Berger et al. (2019), Bondarenko et al. (2021), Freiburg et al. (2014), Leetaru and Freiburg (2014), Luu et al. (2022), Williams-Stroud et al. (2020)</t>
  </si>
  <si>
    <t>RF</t>
  </si>
  <si>
    <t>N82E</t>
  </si>
  <si>
    <t>Habanero fault</t>
  </si>
  <si>
    <t>16000, -1.2≤ML≤2.9</t>
  </si>
  <si>
    <t>ML</t>
  </si>
  <si>
    <t>Habanero 1 restimulation</t>
  </si>
  <si>
    <t>Baisch et al. (2009), Holl and Barton (2015)</t>
  </si>
  <si>
    <t>Habanero 1 well. The Geoscience Australia Earthquakes database says M 3.7 event occurred on 06/12/2003 at a depth of 7 km. Caffagni says two M3.7 earthquakes occurred, first one during a shut-in phase and second during a progressive increase in injection rate</t>
  </si>
  <si>
    <t>Asanuma et al. (2005), Baisch et al. (2006), Majer et al. (2007), Barton et al. (2013), Humphreys et al. (2014), Holl and Barton (2015)</t>
  </si>
  <si>
    <t>Habanero 3 well</t>
  </si>
  <si>
    <t>Holl and Barton (2015)</t>
  </si>
  <si>
    <t>29186, -1.6≤ML≤3</t>
  </si>
  <si>
    <t>Habanero 4 well</t>
  </si>
  <si>
    <t xml:space="preserve">Baisch et al. (2006), Holl and Barton (2013), Baisch et al. (2015), Geoscience Australia Earthquake database, </t>
  </si>
  <si>
    <t>N244E</t>
  </si>
  <si>
    <t>Well Jolokia 1</t>
  </si>
  <si>
    <t>Holl and Barton (2013), Baisch et al. (2015)</t>
  </si>
  <si>
    <t>N101E</t>
  </si>
  <si>
    <t>N-S</t>
  </si>
  <si>
    <t>Diagnostic Fracture Injection Test (DFIT)</t>
  </si>
  <si>
    <t>Water</t>
  </si>
  <si>
    <t>&gt;300</t>
  </si>
  <si>
    <t xml:space="preserve"> Albaric et al. (2013), Albaric et al. (2014), Hasting et al. (2011), Riffault et al. (2016), Riffault et al. (2018)</t>
  </si>
  <si>
    <t>Paralana 2 well</t>
  </si>
  <si>
    <t>NNW-SEE</t>
  </si>
  <si>
    <t>Reinjection</t>
  </si>
  <si>
    <t>water</t>
  </si>
  <si>
    <t>20, -0.1≤ML≤2.1</t>
  </si>
  <si>
    <t>Plant launched in Decmber 2018 but earthquakes were associated with injeciton test in September 2016</t>
  </si>
  <si>
    <t>Broothaers et al. (2019), Erol (2018), Laenen et al. (2020)</t>
  </si>
  <si>
    <t>NNW-SSE</t>
  </si>
  <si>
    <t>Brine</t>
  </si>
  <si>
    <t>Well TR8A, Field on volcano flank (last eruption 1878?), goethermal production started in 1992. The largest event occured two weeks after shut-in (Bommer et al., 2006)</t>
  </si>
  <si>
    <t>Damore and Mejia (1999), Monterrosa and Sa (2002), Bommer et al. (2006), Majer et al. (2007), Rodríguez and Monterossa (2011), Portier et al. (2012), Monterrosa (2012), Kwiatek et al. (2014)</t>
  </si>
  <si>
    <t>N110E</t>
  </si>
  <si>
    <t>N135E</t>
  </si>
  <si>
    <t>NW</t>
  </si>
  <si>
    <t>NNW</t>
  </si>
  <si>
    <t>Fresh water</t>
  </si>
  <si>
    <t>490, with -0.8&lt;ML&lt;1.8</t>
  </si>
  <si>
    <t>reactivation of fracture network, not major faults</t>
  </si>
  <si>
    <t>Focal mechanisms are RF, while optimal regime on pre/existing faults is SS. Major faults are 20 km away from injection. Imjection performed by intervals with inactive periods</t>
  </si>
  <si>
    <t>Ader et al. (2020), Bentz et al. (2020), Hillers et al. (2020), Kwiatek et al. (2019), Leonhardt et al. (2021)</t>
  </si>
  <si>
    <t>SS/NF</t>
  </si>
  <si>
    <t>N175E</t>
  </si>
  <si>
    <t>N320E</t>
  </si>
  <si>
    <t>Robertsau</t>
  </si>
  <si>
    <t>Hydraulic test</t>
  </si>
  <si>
    <t>10 with 2&lt;ML</t>
  </si>
  <si>
    <t>MLv</t>
  </si>
  <si>
    <t>A MLv=3.3 occured three weeks after the shut in. On December 8, 2020, the local authorities ordered a definitive closure of the Geoven site.</t>
  </si>
  <si>
    <t>Schmittbuhl et al. (2021)</t>
  </si>
  <si>
    <t>N155E</t>
  </si>
  <si>
    <t>N10E</t>
  </si>
  <si>
    <t>N20E</t>
  </si>
  <si>
    <t>Mlv</t>
  </si>
  <si>
    <t>~100 microseismic events in April, GRT1 well</t>
  </si>
  <si>
    <t>Maurer et al. (2020), Vidal et al. (2016)</t>
  </si>
  <si>
    <t>N15E</t>
  </si>
  <si>
    <t>N105E</t>
  </si>
  <si>
    <r>
      <rPr>
        <u/>
        <sz val="9"/>
        <color rgb="FF000000"/>
        <rFont val="Times New Roman"/>
        <family val="1"/>
      </rPr>
      <t>https://earthquakes.bgs.ac.uk/induced/recent_uk_events.html</t>
    </r>
    <r>
      <rPr>
        <sz val="9"/>
        <color theme="1"/>
        <rFont val="Times New Roman"/>
        <family val="1"/>
      </rPr>
      <t>, Still in the exploration phase</t>
    </r>
  </si>
  <si>
    <t>Cabral (2018), Schmittbuhl et al. (2021), Valley and Evans (2007)</t>
  </si>
  <si>
    <t>N170E</t>
  </si>
  <si>
    <t>N150E</t>
  </si>
  <si>
    <t>NS</t>
  </si>
  <si>
    <t>Massive injection</t>
  </si>
  <si>
    <t>20000 (downhole network), 165 (surface network)</t>
  </si>
  <si>
    <t>Earthquake occured 9 days after shutin</t>
  </si>
  <si>
    <t>700, 1≤ML≤2.5</t>
  </si>
  <si>
    <t>Fracture shearing</t>
  </si>
  <si>
    <t>Well GPK-2, Max earthquake occured 10 days after shut in (Evans et al. (2012)</t>
  </si>
  <si>
    <t>restimulation</t>
  </si>
  <si>
    <t>200, 1≤ML≤2.5</t>
  </si>
  <si>
    <t>Fracture shearing- Direct pore pressure diffusion can reproduce the spatial and temporal evlution of seismicity. The post-injection earthquake also lies within the growing pore pressure front</t>
  </si>
  <si>
    <t>Earthquake occured 2 days after shutin</t>
  </si>
  <si>
    <t>N169E</t>
  </si>
  <si>
    <t>240, &gt;32 above 1.2 M</t>
  </si>
  <si>
    <t>Fault reactivation</t>
  </si>
  <si>
    <t>Well GPK-3</t>
  </si>
  <si>
    <t>N172E</t>
  </si>
  <si>
    <t>128, 1&lt;Ml&lt;2.7</t>
  </si>
  <si>
    <t>N10W</t>
  </si>
  <si>
    <t>420, -0.6≤MW≤1.8</t>
  </si>
  <si>
    <t>Stimulation of the existing fractures</t>
  </si>
  <si>
    <t>Heinemann et al. (1992), Rummel and Klee (1995), Dermott et al. (2005), Tenzer et al. (2010), Stober (2011), Evans et al. (2012)</t>
  </si>
  <si>
    <t>Demonstration well - hydraulic fracturing</t>
  </si>
  <si>
    <t>well production was stopped because of the formatin of a salt plug after 6 months</t>
  </si>
  <si>
    <t>Buijze et al. (2019), Orzol et al. (2005), Rioseco et al. (2013), Tischner et al. (2013)</t>
  </si>
  <si>
    <t>N18E</t>
  </si>
  <si>
    <t>70, -1.9≤ML≤-1.1</t>
  </si>
  <si>
    <t>Blocher et al. (2018), Breede et al. (2013), Buijze et al. (2019), Evans et al. (2012), Jacquey et al. (2016), Moeck et al. (2009), Mignan (2021), Zang et al. (2014)</t>
  </si>
  <si>
    <t>&gt;600, -0.5≤ML≤2.7 (joint with Landau)</t>
  </si>
  <si>
    <t>Earthquake after shut-in</t>
  </si>
  <si>
    <t>Breede et al. (2013), Groos et al. (2013), Schindler et al. (2010), Vidal and Genter (2018)</t>
  </si>
  <si>
    <t>Circulation</t>
  </si>
  <si>
    <t>&gt;600, -0.5≤ML≤2.7 (joint with Insheim)</t>
  </si>
  <si>
    <t>Max M occured either in the sedimentary layers or basement or both, occured short while after circulation was ceased for maintenance, after 1.5 years from injection</t>
  </si>
  <si>
    <t>Evans et al. (2012), Groos et al. (2013), Küperkoch et al. (2018), Schindler et al. (2010), Vidal and Genter (2018)</t>
  </si>
  <si>
    <t>N</t>
  </si>
  <si>
    <t>N29E</t>
  </si>
  <si>
    <t>N35E</t>
  </si>
  <si>
    <t>136, with -0.8&lt;ML&lt;2.4 from 2008 to 2012</t>
  </si>
  <si>
    <t>The borehole crosses the main fault, but the hypocenter is located some hundreds of meters below the borehole. ML2.3 occured in Feb. 2008 shortly after starting the project. Earthquakes with local magnitudes of 2.1 and 1.9 were also detected on 21 and 23 July respectively.</t>
  </si>
  <si>
    <t xml:space="preserve">Evans et al. (2012), Gaucher et al. (2015), Hedtmann and Alber (2017), Megies and Wassermann (2014), Pei et al. (2018), Rojas et al. (2017),  Sisi et al. (2017), Wolfgramm et al. (2007), </t>
  </si>
  <si>
    <t>SS-N</t>
  </si>
  <si>
    <t>N16.6E</t>
  </si>
  <si>
    <t>N36.6E</t>
  </si>
  <si>
    <t>N8E</t>
  </si>
  <si>
    <t>Induced seismicity observed in Hellisheiði is found to be highly temperature dependent. Thermal stressing is significantly promoted by cooling-induced fracture permeability enhancement, controlling the stability conditions of the fractures. The spatial and temporal evolution of the sesimic events can only be numerically reproduced by considering a significant contribution of thermal permeability enhancement. Calibration of numerical models against field injectivity data shows that injectivity is governed by the injected fluid temperature. The colder the injected fluid, the higher the injectivity.</t>
  </si>
  <si>
    <t>Hypocentres of the majority of induced earthquakes are below the injection layer and within the basaltic basement. So, changes in lithology may control the fault strength or seismic/aseismic slip tendency</t>
  </si>
  <si>
    <t>Batir et al. (2012), Flóvenz et al. (2015), Juncu et al. (2017), Juncu et al. (2020), Cao et al. (2022)</t>
  </si>
  <si>
    <t>NNE</t>
  </si>
  <si>
    <t>E</t>
  </si>
  <si>
    <t>Bjornsson (2004), Evans et al. (2012), Juncu et al. (2017), Juncu et al. (2020), Cao et al. (2022)</t>
  </si>
  <si>
    <t>Flóvenz et al. (2015), Cao et al. (2022)</t>
  </si>
  <si>
    <t>Thermal effects may be important</t>
  </si>
  <si>
    <t>Eggertsson et al. (2019), Eggertsson et al. (2020), Evans et al. (2012), Flóvenz et al. (2015), Heap et al. (2020)</t>
  </si>
  <si>
    <t>Re-injection (pressure recovery)</t>
  </si>
  <si>
    <t>Reason for no seismic event: large pressure decline during pressure which is not thoroughly recovered by re-injection</t>
  </si>
  <si>
    <t>No event with ML&gt;-1, Seeasonal consumption</t>
  </si>
  <si>
    <t>Arnórsson (1995), Axelsson et al. (2005), Axelsson et al. (2010), Björnsson et al. (2011), Evans et al. (2012), Flóvenz et al. (2015), Lashin (2005), Zhang (2003), Ziegler et al. (2016)</t>
  </si>
  <si>
    <t>N45E</t>
  </si>
  <si>
    <t>N7E</t>
  </si>
  <si>
    <t>Many events each year</t>
  </si>
  <si>
    <t>Cyclic loading in a long time due to high and low demand to energy during the year, also pressure biuld up due to re-injection</t>
  </si>
  <si>
    <t>Obvious change in microseismic´s spatial patterns before and after the main earthquake, Seasonal consumption; Seismic events greatly affected reservoir pressure of the adjacent fields</t>
  </si>
  <si>
    <t>18 quakes between 2 and 3</t>
  </si>
  <si>
    <t>Flóvenz et al. (2015)</t>
  </si>
  <si>
    <t>N20W</t>
  </si>
  <si>
    <t>N26W</t>
  </si>
  <si>
    <t>5 swarms of 40-80</t>
  </si>
  <si>
    <t>Normal faults</t>
  </si>
  <si>
    <t>Volume for 2005-2008. Annual average injection. The largest quake magnitude is 3 ML in 2006 due to production. Injection induced quakes are all smaller than 2</t>
  </si>
  <si>
    <t xml:space="preserve">Arnórsson (1995), Haimson and Voight (1977), Hofmann et al. (2021), Keilegavlen et al. (2021), Peter-Borie et al. (2018),  Taherynia et al, (2016), </t>
  </si>
  <si>
    <t>No event with ML&gt;-1, Recharge depleted reservoir</t>
  </si>
  <si>
    <t>Evans et al. (2012), Flóvenz et al. (2015), Juncu et al. (2020), Keiding et al. (2010)</t>
  </si>
  <si>
    <t>Recharge depleted reservoir, the state of stress and elastic properties can be inferred from th Reykjanes field in the close vicinity</t>
  </si>
  <si>
    <t>injection</t>
  </si>
  <si>
    <t>Field  operational from 1999 to 2003, 14 wells</t>
  </si>
  <si>
    <t>Evans et al. (2012)</t>
  </si>
  <si>
    <t>N67E</t>
  </si>
  <si>
    <t>N140E</t>
  </si>
  <si>
    <t>&gt;400</t>
  </si>
  <si>
    <t>Well SKG-2 injection and HDR-1 and HDR-2 producers. Maximum magnitude based on scale in figure 6.</t>
  </si>
  <si>
    <t>Jing et al. (2000), Kaieda et al. (2010), Oikawa and Yamaguchi. (2000), Sasaki and Kaieda (1998), Tenma et al. (2008)</t>
  </si>
  <si>
    <t>&gt;100</t>
  </si>
  <si>
    <t>Well SKG-2 stimulation</t>
  </si>
  <si>
    <t>Jing et al. (2000), Kaieda et al. (2010), Sasaki and Kaieda (1998), Tenma et al. (2008)</t>
  </si>
  <si>
    <t>SS/RF</t>
  </si>
  <si>
    <t>N41E</t>
  </si>
  <si>
    <t xml:space="preserve">Water </t>
  </si>
  <si>
    <t>Assuming a water density of 1000 kg m-3</t>
  </si>
  <si>
    <t>Audigane et al. (2012), Kaieda et al. (2000), Kaieda et al. (2005), Kaieda et al. (2010), McClure and Horne (2014), Shin et al. (2000), Wakahama et al. (2009)</t>
  </si>
  <si>
    <t>Demonstation site</t>
  </si>
  <si>
    <t>Evans et al. (2012), Nikulin and Assinovskaya (2018)</t>
  </si>
  <si>
    <t xml:space="preserve"> </t>
  </si>
  <si>
    <t>N5E</t>
  </si>
  <si>
    <t>Cerro Prieto and Imperial faults</t>
  </si>
  <si>
    <t>Occurence of subsidence (poroelasti effect at this site, 5-7 cm/year), Multiple high magnitude earthquakes occured there</t>
  </si>
  <si>
    <t>Martinez-Baez (1980), Somerton (1980), Zúñiga et al. (1995), Glowacka and Nava (1996), Glowacka et al. (2005), Glowacka et al. (2010), Trugman et al. (2014), Prol-Ledesma et al. (2016), García-Sánchez et al. (2017)</t>
  </si>
  <si>
    <t>N60W</t>
  </si>
  <si>
    <t>Md</t>
  </si>
  <si>
    <t>Two sets of faults have been detected in the field (Urban 2013), Production rate from figure 10 for well P1, injection rate from figure 9 for well I29</t>
  </si>
  <si>
    <t>Arzate et al. (2018), Kruszewski et al. (2019), Norini et al. (2019), Rodríguez (2000), Urban and Lermo (2013)</t>
  </si>
  <si>
    <t>Sherburn et al. (2015)</t>
  </si>
  <si>
    <t>Sherburn et al. (2015), Wyering et al. (2014), Wyering et al. (2018)</t>
  </si>
  <si>
    <t xml:space="preserve">NF </t>
  </si>
  <si>
    <t>N25E</t>
  </si>
  <si>
    <t>N49E</t>
  </si>
  <si>
    <t>&gt;1500</t>
  </si>
  <si>
    <t>Liquid dominated. Field scale rate. Max magnitude depth: located in the wacke basement</t>
  </si>
  <si>
    <t>Davidson et al. (2012), Heap et al. (2020),  Quinao et al. (2013), Sherburn et al. (2015),  Siratovich et al. (2012),  Siratovich et al. (2014), Siratovich et al. (2015), Siratovich et al. (2016), Wyering et al. (2014)</t>
  </si>
  <si>
    <t>Ellsworth et al. (2019), Grigoli et al. (2018), Hofmann et al. (2019), Kim et al. (2017), Kim et al. (2017), Kwon et al. (2019), Park et al. (2017), Park et al. (2020), Woo et al. (2019), Yeo et al. (2020)</t>
  </si>
  <si>
    <t>N130E-N136E</t>
  </si>
  <si>
    <t>N36E</t>
  </si>
  <si>
    <t>Yangsan</t>
  </si>
  <si>
    <t>6 foreshocks and 210 after shocks</t>
  </si>
  <si>
    <t>Reactivation of Yangsan fault</t>
  </si>
  <si>
    <t>N35W</t>
  </si>
  <si>
    <t>Gel (viscosity: 0.07 Pa.s)</t>
  </si>
  <si>
    <t>74, -1.3≤ML≤-0.2</t>
  </si>
  <si>
    <t>Evans et al. (2012), Eliasson (1993), Eliasson et al. (1988), Jupe et al. (1992), Wallroth et al. (1999)</t>
  </si>
  <si>
    <t>N158E</t>
  </si>
  <si>
    <t>&gt;10500</t>
  </si>
  <si>
    <t>Fault reactivation, a complex fault zone rather than a single one</t>
  </si>
  <si>
    <t>Max earthquake occured during the shut in period; three additional felt earthquakes with ML &gt; 3 occurred 1–2 months after bleed-off. cloud of seismicities is near vertical and in NW-SE direction</t>
  </si>
  <si>
    <t>N148E</t>
  </si>
  <si>
    <t>NE-SW</t>
  </si>
  <si>
    <t>&gt;800</t>
  </si>
  <si>
    <t>Initially geothermal project but then also natural gas tested</t>
  </si>
  <si>
    <t>Bloch (personal communication, 2018, kundendienst@sgsw.ch), Schultz et al. (2022), Moeck et al. (2015), Wolfgramm et al. (2015), Zbinden et al. (2020 a,b)</t>
  </si>
  <si>
    <t>Stimulation-Circulation</t>
  </si>
  <si>
    <t>Water-gel</t>
  </si>
  <si>
    <t>Batchelor et al. (1983),  Pine and Batchelor (1984), Pine et al. (1987), Savage et al. (1987), Xie et al. (2015),  Zang et al. (2014)</t>
  </si>
  <si>
    <t>N135</t>
  </si>
  <si>
    <t>Still in the exploration phase</t>
  </si>
  <si>
    <t>Gan et al. (2021), Ledingham et al. (2019), Reinecker et al. (2021)</t>
  </si>
  <si>
    <t>≤340</t>
  </si>
  <si>
    <t>N20</t>
  </si>
  <si>
    <t>&gt;20000 (1991-1995)</t>
  </si>
  <si>
    <t>Rate was 1400 kph (kilos per hour?)</t>
  </si>
  <si>
    <t>Breede et al. (2013), Davatzes &amp; Hickman (2006), Feng and Lees (1998), Julian et al. (2009), Rose et al. (2004)</t>
  </si>
  <si>
    <t xml:space="preserve">There is high uncertainty for the taken values for different parameters. </t>
  </si>
  <si>
    <t>Davatzes and Hickman (2009), Hickman and Davatzes (2010), Lutz et al. (2010), Zemach et al. (2013), Baker et al. (2014), Breede et al. (2013), Benato et al. (2016), Dempsey et al. (2016)</t>
  </si>
  <si>
    <t>N14E</t>
  </si>
  <si>
    <t>N30E</t>
  </si>
  <si>
    <t>N30</t>
  </si>
  <si>
    <t>&gt;11000</t>
  </si>
  <si>
    <t>Fehler (1989), Nicholson and Wesson (1992), Norbeck et al. (2016), Norbeck et al. (2018), Phillips et al. (1997), Phillips et al. (2002), Xie et al. (2015)</t>
  </si>
  <si>
    <t>N2S</t>
  </si>
  <si>
    <t>174, -0≤MW≤2.39,within 1 km</t>
  </si>
  <si>
    <t>During phase 2 of the project (started from April 2012)</t>
  </si>
  <si>
    <t>Cheng et al. (2019), Cladouhos et al. (2013), Cladouhos et al. (2016), Li et al. (2012), Sonnenthal et al. (2012)</t>
  </si>
  <si>
    <t>NF-SS</t>
  </si>
  <si>
    <t>Volume assuming water density of 1000 kg m-3. Rate is for field scale.</t>
  </si>
  <si>
    <t>Hulen et al. (2002), Kaspereit et al. (2016), McGuire et al. (2015)</t>
  </si>
  <si>
    <t>140/month ML&gt;1.2, 20 events&gt;4 since 2003</t>
  </si>
  <si>
    <t>Vapour dominated. Up to 2005 about 120 billion pounds had been injected. Mass to volume using water desnity of 1000 kg m-3. Rate is for field scale.</t>
  </si>
  <si>
    <t>N131E</t>
  </si>
  <si>
    <t>SS-RF</t>
  </si>
  <si>
    <t>Water with viscosity of 0.00028 Pa.s</t>
  </si>
  <si>
    <t>Direct pore pressure transmission to a basement fault through a high-permeability fluid conduit (k=1e-13 m2 is assumed)</t>
  </si>
  <si>
    <t>Earthquake ruptured within the basement 1-2 km below the shale layer. Aftershocks in the overlying sediments (around 2 km) by static stress transfer from the reactivated fault in the basement</t>
  </si>
  <si>
    <t>NE</t>
  </si>
  <si>
    <t>Direct pore pressure transmission to a basement fault through a high-permeability fluid conduit (k=1e-12 m2 is assumed)</t>
  </si>
  <si>
    <t>Earthquake ruptured within the basement 1-2 km below the shale layer. Large aftershock of ML 4.2, 3.8 and 3.4. Aftershocks in the overlying sediments (around 2 km) by static stress transfer from the reactivated fault in the basement</t>
  </si>
  <si>
    <t>4 events within 2 hours of HF, 3 events during HF and 7 events within 7.5 hours of HF</t>
  </si>
  <si>
    <t>This event hasn't been mentioned by any other public sources.</t>
  </si>
  <si>
    <t>BC Oil and Gas Commission (2014), Maxwell et al. (2011), Vaisblat et al. (2019)</t>
  </si>
  <si>
    <t xml:space="preserve">During and after (21h) hydraulic fracturing operations. </t>
  </si>
  <si>
    <t>This event hasn't been mentioned by any other public sources</t>
  </si>
  <si>
    <t>&gt;60</t>
  </si>
  <si>
    <t>Pore pressure diffusion into the cristalline basement by an intersecting fault zone</t>
  </si>
  <si>
    <t>Galloway et al. (2018), Reiter et al. (2014), Schultz et al. (2015a)</t>
  </si>
  <si>
    <t>Hydraulic fracturing operations and post injection seimsicity</t>
  </si>
  <si>
    <t>All events occurred during or within 2 hours of hydraulic fracturing</t>
  </si>
  <si>
    <t>N47E</t>
  </si>
  <si>
    <t>N12E</t>
  </si>
  <si>
    <t>Water with viscosity of 0.0004 Pa.s</t>
  </si>
  <si>
    <t>Reactivation of preexisting faults by pore pressure diffusion</t>
  </si>
  <si>
    <t>Location corresponds to Mmax epicentre. Site number from reference.</t>
  </si>
  <si>
    <t>Hui et al. (2021), Shen et al. (2021), Wang et al. (2020)</t>
  </si>
  <si>
    <t>N43E</t>
  </si>
  <si>
    <t>N45.5E</t>
  </si>
  <si>
    <t>Hypocenters for these two events are nearby and have similar fault motions</t>
  </si>
  <si>
    <t>Aseismic fault slip and fault reactivation in the overlying layers</t>
  </si>
  <si>
    <t>Earthquake occured 8 days after the initiation of treatments</t>
  </si>
  <si>
    <t>Occured at long distances from HF operations</t>
  </si>
  <si>
    <t>Pore pressure diffusion and stress perurbations reactivated a fault in the basement</t>
  </si>
  <si>
    <t>Occured 40 days after the fracturing operations, during the flow-back period</t>
  </si>
  <si>
    <t>Maghsoudi et al. (2016) doesn't provide a date and time for the seismic events as well as no detailed hydromechanical information.</t>
  </si>
  <si>
    <t>Maghsoudi et al. (2016)</t>
  </si>
  <si>
    <t>Magnitudes from 0.5 to 1 shows a transition from fracturing-driven seismicity to fault reactivation (Abundant north-south trending faulting)</t>
  </si>
  <si>
    <t>38 events from NRCan array, injection values are averages from a selection of wells</t>
  </si>
  <si>
    <t>BC Oil and Gas Commission report (2012), Davies et al. (2013), Dong (2016), Kettlety et al. (2019), Schultz et al. (2020), Teklu et al. (2018)</t>
  </si>
  <si>
    <t>Fault reactivation during stimulation</t>
  </si>
  <si>
    <t>Well C. Well location not known so generic Montney Formation coordinates used from Wikipedia</t>
  </si>
  <si>
    <t>Maxwell et al. (2011), Vaisblat et al. (2019)</t>
  </si>
  <si>
    <t xml:space="preserve">Mainly by fluid injection near preexisting faults; </t>
  </si>
  <si>
    <t>No further sources mention this event</t>
  </si>
  <si>
    <t>N60E</t>
  </si>
  <si>
    <t>NS1</t>
  </si>
  <si>
    <t>Pore pressure difsuion along an existing fracture into a second fracture zone which failed during stimulation.</t>
  </si>
  <si>
    <t>Very well documented case.</t>
  </si>
  <si>
    <t>Eaton et al. (2018), Ghanizadeh et al. (2015), Igonin et al. (2018), Igonin et al. (2021), Shen et al. (2018), Soltanzadeh et al. (2015)</t>
  </si>
  <si>
    <t>N100E</t>
  </si>
  <si>
    <t>N115E</t>
  </si>
  <si>
    <t>2400 with ML≥1.0, 4 ML&gt;4</t>
  </si>
  <si>
    <t>Lei et al. (2017)</t>
  </si>
  <si>
    <t>Overpressure reactivation of pre-existing faults by hydraulic fracturing.</t>
  </si>
  <si>
    <t>Lei et al. (2017), Lei et al. (2019), Liang et al. (2014), Tan et al. (2020), Tang et al. (2021), Xu et al. (2019), Zhang et al. (2020), Zheng et al. (2020)</t>
  </si>
  <si>
    <t>N107.5E</t>
  </si>
  <si>
    <t>pore pressure diffusion</t>
  </si>
  <si>
    <t>SE</t>
  </si>
  <si>
    <t>W</t>
  </si>
  <si>
    <t>Molin fault</t>
  </si>
  <si>
    <t>Poroelastic stress redistribution due to hydraulic fracturing in a beneath shale gas layer.</t>
  </si>
  <si>
    <t>2 deaths and 12 injuries. Epicentre coordinates from IRIS earthquake browser. Yang et al. (2020) say MW 4.3 at 1 km depth. No public accessible injection data.</t>
  </si>
  <si>
    <t>Lei et al. (2017), Lei et al. (2019), Liang et al. (2014), Tan et al. (2020), Tang et al. (2021), Xu et al. (2019), Yang et al. (2020), Zhang et al. (2020)</t>
  </si>
  <si>
    <t>WSW</t>
  </si>
  <si>
    <t>Deep well salt mining in combination with closeby hydraulic fracturing in the closeby Shangluo shale gas area</t>
  </si>
  <si>
    <t>The induced seismic event happened close to a salt mining operation but might be influenced by the Changning shale gas development practices. The M5.7 Xingwen Earthquake in the Shangluo shale gas area seemed to set the prerequisites for the M6 Shuanghe one.</t>
  </si>
  <si>
    <t>short term injections</t>
  </si>
  <si>
    <t>Hydraulic fracturing operations</t>
  </si>
  <si>
    <t>Lei et al. (2017), Li et al. (2015), Li et al. (2017), Liang et al., 2014, Tang et al., 2021, Zhang et al. (2020), Zheng et al., 2020)</t>
  </si>
  <si>
    <t>stimulation</t>
  </si>
  <si>
    <t>77 earthquakes detected overall for the two wells</t>
  </si>
  <si>
    <t>López Comino et al. (2018)</t>
  </si>
  <si>
    <t>Pure water+Proppant</t>
  </si>
  <si>
    <t>Fault activation due to hydraulic fracturing (stage 2)</t>
  </si>
  <si>
    <t>Occured 1 day after shut-in, variable rock properties with TOC content and geological properties</t>
  </si>
  <si>
    <t>Anderson et al. (2019),  Clarke et al. (2014), Clarke et al. (2018), Clarke et al. (2019 a,b), Cuadrilla Resources (2019), Kettlety and Verdon (2021), Kettlety et al. (2021), Pater and Baisch (2011), Westaway (2017)</t>
  </si>
  <si>
    <t>Stage 4 hydraulic fracturing</t>
  </si>
  <si>
    <t>Occured 10 hours after shut-in</t>
  </si>
  <si>
    <t>Anderson et al. (2019), Clarke et al. (2014), Clarke et al. (2018), Clarke et al. (2019 a,b), Cuadrilla Resources (2019), Kettlety and Verdon (2021), Kettlety et al. (2021), Pater and Baisch (2011), Westaway (2017)</t>
  </si>
  <si>
    <t>N151E</t>
  </si>
  <si>
    <t>N57E</t>
  </si>
  <si>
    <t>6 events with ML&gt;0.5</t>
  </si>
  <si>
    <t>500 m-long fracture intersected the wellbore (5 stages at least directly injected into the fault)</t>
  </si>
  <si>
    <t>Rock properties at Preston New Road were found to be similar to those of Preese Hall</t>
  </si>
  <si>
    <t>350 m-long fracture some 200 m away from three HF stages</t>
  </si>
  <si>
    <t>72 hours after the last hydraulic fracturing stage- Delay is possibly related to pore pressure diffusion to the fault</t>
  </si>
  <si>
    <t>Hydraulic fracturing is the most likely triggering factor; Natural cause can not be ruled out</t>
  </si>
  <si>
    <t>Hypocentre depth uncertain</t>
  </si>
  <si>
    <t>Sone et al. (2013), Walter et al. (2016)</t>
  </si>
  <si>
    <t>N78E</t>
  </si>
  <si>
    <t>N78.6E</t>
  </si>
  <si>
    <t>994, -1.9≤MW≤-0.2</t>
  </si>
  <si>
    <t>Hydraulic Fracturing</t>
  </si>
  <si>
    <t>Stimulation Phase 1 Stage 2</t>
  </si>
  <si>
    <t>Urbancic et al. (1999), Urbancic and Rutledge (2000)</t>
  </si>
  <si>
    <t>Darold et al. (2014)</t>
  </si>
  <si>
    <t>MLadj</t>
  </si>
  <si>
    <t>Spatial and temporal correlation exists, plausible that these earthquakes were triggered by fracking</t>
  </si>
  <si>
    <t>This event hasn't been evaluated by any other public sources</t>
  </si>
  <si>
    <t>Srinivasan et al. (2013), Walter et al. (2018)</t>
  </si>
  <si>
    <t>Hydraulic Fracturing is the most probable scenario</t>
  </si>
  <si>
    <t>Apart from the reference in post-gazette (2016), the event hasn't been examined in any scientific publication.</t>
  </si>
  <si>
    <t>Sattler (2015), State studying link between fracking, Lawrence County earthquakes (2022)</t>
  </si>
  <si>
    <t>N166E</t>
  </si>
  <si>
    <t>Slick water</t>
  </si>
  <si>
    <t>Pore pressure diffusion: Fluid pressures have probably diffused through more permeable fracture and fault systems into a critically stressed fault and triggered earthquakes by increasing the pore pressure within a fault.</t>
  </si>
  <si>
    <t>Well name: Picket Unit B Well 4-18</t>
  </si>
  <si>
    <t>Abousleiman et al. (2007), Holland (2011), Holland (2013a), Kilic and Tapp (2013), Ryan (2017)</t>
  </si>
  <si>
    <t>86, with 16 1≤ML</t>
  </si>
  <si>
    <t>Occured during hydraulic fracturing treatment, the first earthquake occured 24 hrs after injection</t>
  </si>
  <si>
    <t>Holland (2011), Holland (2013)</t>
  </si>
  <si>
    <t>N80E</t>
  </si>
  <si>
    <t>N75E</t>
  </si>
  <si>
    <t>Stage V</t>
  </si>
  <si>
    <t>Neuhaus and Miskimins (2012), Ryan (2017)</t>
  </si>
  <si>
    <t>N18W</t>
  </si>
  <si>
    <t>N64W</t>
  </si>
  <si>
    <t>EAST 4 stage 3</t>
  </si>
  <si>
    <t>Cluff and Cluff (2004), Wolhart et al. (2006)</t>
  </si>
  <si>
    <t>N59E</t>
  </si>
  <si>
    <t>N83E</t>
  </si>
  <si>
    <t>hydraulic fracturing induced slip along a pre-existing basement-rooted fault</t>
  </si>
  <si>
    <t>Skoumal et al. (2015)</t>
  </si>
  <si>
    <t>N58E</t>
  </si>
  <si>
    <t>Injection volume total for 3 wells, pressure and rate are max values</t>
  </si>
  <si>
    <t>Friberg et al. (2014)</t>
  </si>
  <si>
    <t>Distilled water</t>
  </si>
  <si>
    <t>Goodfellow et al. (2015)</t>
  </si>
  <si>
    <t>Anxian-Guanxian fault</t>
  </si>
  <si>
    <t>Injection experiment</t>
  </si>
  <si>
    <t>824 recorded at the surface and 20000 recorded in the borehole at depth</t>
  </si>
  <si>
    <t>fluid injection causes fault slip near the borehole</t>
  </si>
  <si>
    <t>Magnitude usually &lt;1</t>
  </si>
  <si>
    <t>Ma et al. (2015), Li et al.(2015), He et al. (2017)</t>
  </si>
  <si>
    <t>Step-increasing rates</t>
  </si>
  <si>
    <t>Pore pressure diffusion and aseismic slip</t>
  </si>
  <si>
    <t>11 hydraulic stimulations, less than 4% of the slip is seismic</t>
  </si>
  <si>
    <t>Derode et al. (2013), Derode et al. (2015), Duboeuf et al. (2017), Guglielmi et al. (2015), Jeanne et al. (2012 a,b), Kakurina et al. (2020)</t>
  </si>
  <si>
    <t>N147E</t>
  </si>
  <si>
    <t>N177E</t>
  </si>
  <si>
    <t>De Barros et al. (2016), De Barros et al. (2018), Guglielmi et al. (2015), Masri et al. (2014), Valès et al. (2004)</t>
  </si>
  <si>
    <t>Brine (KBr, KCl) injection</t>
  </si>
  <si>
    <t>MW 1.4 from McGarr (2014) based on Jost et al. (1998)</t>
  </si>
  <si>
    <t>Baisch and Harjes (2003), Brudy et al. (1995), Brudy et al. (1997), Chang and Haimson (2000), Evans et al. (2012), Haimson and Chang (2002), Huenges et al. (1997), McGarr (2014), Moeck (2014), Pechnig et al. (1997), Zoback and Harjes (1997)</t>
  </si>
  <si>
    <t>Fluid injection</t>
  </si>
  <si>
    <t>Pressure from figure 3</t>
  </si>
  <si>
    <t>Baisch and Harjes (2003), Brudy et al. (1995), Brudy et al. (1997), Chang and Haimson (2000), Evans et al. (2012), Haimson and Chang (2002), Huenges et al. (1997), McGarr (2014), Moeck (2014), Pechnig et al. (1997),Serge Shapiro (personal communication, 2016, shapiro@geophysik.fu-berlin.de), Zoback and Harjes (1997)</t>
  </si>
  <si>
    <t>Volume mistake in Evans et al. (2012)</t>
  </si>
  <si>
    <t>Baisch and Harjes (2003), Brudy et al. (1995), Brudy et al. (1997), Chang and Haimson (2000), Evans et al. (2012), Haimson and Chang (2002), Huenges et al. (1997), McGarr (2014), Moeck (2014), Pechnig et al. (1997), Zoback and Harjes (1997),</t>
  </si>
  <si>
    <t>more than 3000</t>
  </si>
  <si>
    <t xml:space="preserve">Wang et al. (2020 a,b), </t>
  </si>
  <si>
    <t>N55W</t>
  </si>
  <si>
    <t>Matsushiro Earthquake Fault</t>
  </si>
  <si>
    <t>City water</t>
  </si>
  <si>
    <t>about 300</t>
  </si>
  <si>
    <t>the increase in pore pressure reduced the strength of rocks and resulted in premature releases of elastic strain</t>
  </si>
  <si>
    <t>Two injection periods but merged here</t>
  </si>
  <si>
    <t>Ohtake (1974)</t>
  </si>
  <si>
    <t>Nojima fault</t>
  </si>
  <si>
    <t>about 3000 (Jan. 1-April 30)</t>
  </si>
  <si>
    <t>A small increase in pore pressure or shear stress leads to slip of a highly permeable fault</t>
  </si>
  <si>
    <t>Tadokoro et al. (2000)</t>
  </si>
  <si>
    <t>N143E</t>
  </si>
  <si>
    <t>Philippine Fault</t>
  </si>
  <si>
    <t>Hydraulic stimulation experiment</t>
  </si>
  <si>
    <t>River water</t>
  </si>
  <si>
    <t>292 during the injection period</t>
  </si>
  <si>
    <t>mc</t>
  </si>
  <si>
    <t>pore pressure buildup in the geothermal field</t>
  </si>
  <si>
    <t>all the data is found in Prioul et al. (2000); the fault is an active fault with creep slip (about 2.4cm/year)</t>
  </si>
  <si>
    <t>Prioul et al. (2000)</t>
  </si>
  <si>
    <t>N132E</t>
  </si>
  <si>
    <t>Cyclic stimulation</t>
  </si>
  <si>
    <t>196 from -4.2 to -3.5</t>
  </si>
  <si>
    <t>Reactivation of pre-existing fractures</t>
  </si>
  <si>
    <t>Feng (2107), Hakami et al. (2008), Kwiatek et al. (2018), Melin (2012), Sundberg (2017), Zang et al. (2017), , Zang et al. (2019)</t>
  </si>
  <si>
    <t>N90E</t>
  </si>
  <si>
    <t>David et al. (2018 a,b), Dutler et al. (2020), Gischig et al. (2020), Krietsch et al. (2019), Krietsch et al. (2020), Selvadurai et al. (2019), Villiger et al. (2020),</t>
  </si>
  <si>
    <t>N45W</t>
  </si>
  <si>
    <t>N66E</t>
  </si>
  <si>
    <t>Main fault</t>
  </si>
  <si>
    <t>Fault slip behavior</t>
  </si>
  <si>
    <t>Slip on the main fault not the injection fault</t>
  </si>
  <si>
    <t>Injection into a fault some 1-2 m away from the main fault- Injection within the damage zone of the main fault</t>
  </si>
  <si>
    <t>Birkholzer et al. (2016), Guglielmi et al. (2015), Guglielmi et al. (2017), Guglielmi et al. (2020 a,b), Jeanne et al. (2017), Kakurina et al. (2020), Nguyen et al. (2019), Zappone et al. (2021)</t>
  </si>
  <si>
    <t>constant pressurization rate (0.1 MPa/min)</t>
  </si>
  <si>
    <t>water (viscosity=0.00089)</t>
  </si>
  <si>
    <t>Li et al. (2021),</t>
  </si>
  <si>
    <t>Huayin Mountain Fault</t>
  </si>
  <si>
    <t>Massive Injection</t>
  </si>
  <si>
    <t>Wastewater</t>
  </si>
  <si>
    <t>&gt;32000 and 100≥M3.0 (1988-2006)</t>
  </si>
  <si>
    <t>fluid injection activates the reverse faults in the basements</t>
  </si>
  <si>
    <t>Injection data for 2 wells (Luo-4 and Luo-2) combined</t>
  </si>
  <si>
    <t>Cheng et al. (2003), Lei et al. (2008)</t>
  </si>
  <si>
    <t>N126E</t>
  </si>
  <si>
    <t>N160</t>
  </si>
  <si>
    <t>Monti della Maddalena Fault</t>
  </si>
  <si>
    <t>Massive Re-injection</t>
  </si>
  <si>
    <t>219, 0.2 ≤ML≤2.2</t>
  </si>
  <si>
    <t>The rapid pore pressure diffusion within an intensely fractured (high permeability) reservoir.</t>
  </si>
  <si>
    <t>The ruptured damage zone measures 2 km along strike and 3 km along dip</t>
  </si>
  <si>
    <t>Buttinelli et al. (2016), Improta et al. (2015), Improta et al. (2017), Stabile et al. (2014)</t>
  </si>
  <si>
    <t>SW</t>
  </si>
  <si>
    <t>Guy-Greenbrier</t>
  </si>
  <si>
    <t>1000 and 211 ≥M2.5 (2010-2011)</t>
  </si>
  <si>
    <t>Fluid injection triggered the recent seismicity on the Guy-Greenbrier fault</t>
  </si>
  <si>
    <t>Injection into two layers with wells 1 and 5</t>
  </si>
  <si>
    <t>Dempsey et al. (2015), Horton (2012), Huang and Beroza (2015), Huang et al. (2016), Morgan and Murray (2015), Mousavi et al. (2017), Ogwari and Horton (2016), Ogwari et al. (2016), Yehya et al. (2018), Yoon et al. (2017)</t>
  </si>
  <si>
    <t>A sequence of 36 earthquakes</t>
  </si>
  <si>
    <t>mbLg</t>
  </si>
  <si>
    <t>Nicholson (1992), Nicholoson and Wesson (1992), Seeber et al. (2004)</t>
  </si>
  <si>
    <t>N32E</t>
  </si>
  <si>
    <t>Frohlich et al. (2016), Hornbach et al. (2015)</t>
  </si>
  <si>
    <t>54+</t>
  </si>
  <si>
    <t>Frohlich et al. (2016), Justinic et al. (2013)</t>
  </si>
  <si>
    <t>N85 E</t>
  </si>
  <si>
    <t>Wilzetta Fault</t>
  </si>
  <si>
    <t>water disposal</t>
  </si>
  <si>
    <t>48 M&gt;3 in the Mmax sequence</t>
  </si>
  <si>
    <t>Pore pressure diffusion and poroelastic stresses have contributed to induced seismicity. Another possible mechanism can be the weigth of injected fluid into the reservoir applying stress on the underlying basement (Johann and Shapiro, 2020)</t>
  </si>
  <si>
    <t>Summed max rate for the three wells (Fig. S5)</t>
  </si>
  <si>
    <t>Chen et al. (2017), Johann and Shapiro (2020), McGarr and Barbour (2017), McNamara et al. (2015b), Walsh III &amp; Zoback (2016), Yeck et al. (2016), Yu (2017), Zhai et al. (2019)</t>
  </si>
  <si>
    <t>DFW airport</t>
  </si>
  <si>
    <t>183 (frequent earthquakes in the sebsequent years)</t>
  </si>
  <si>
    <t>mb</t>
  </si>
  <si>
    <t>Pressure diffusion into a critically stressed fault, 6 Km length fault</t>
  </si>
  <si>
    <t>Approximate volume of southwest SWD using figure 13</t>
  </si>
  <si>
    <t>Frohlich et al. (2010), Frohlich et al. (2011), Hennings et al. (2019), Hornbach et al. (2016), Ogwari et al. (2018), Quinones et al. (2018), Quinones et al. (2019), Smye et al. (2019)</t>
  </si>
  <si>
    <t>N120E</t>
  </si>
  <si>
    <t>Hibank graben fault</t>
  </si>
  <si>
    <t>12 (1983-1989)</t>
  </si>
  <si>
    <t>Fluid injection triggered the earthquake</t>
  </si>
  <si>
    <t>Injection data for 4 wells combined, only one paper (Cox, 1991) has the useful data</t>
  </si>
  <si>
    <t>Cox (1991)</t>
  </si>
  <si>
    <t>Galena Township Fault</t>
  </si>
  <si>
    <t>Water (Viscosity: 0.28e-3 Pa.s, Compressibility: 4.6e-10 1/Pa)</t>
  </si>
  <si>
    <t>63 foreshocks, 89 aftershocks</t>
  </si>
  <si>
    <t>Poroelastic stresses have probably triggered the distant seismicity.</t>
  </si>
  <si>
    <t xml:space="preserve">Rate is based on summed rate of a number of wells (Figure 1a of Yeck et al., 2016)- Occured 10-40 km away from the injection area, far enough that direct pore pressure transmission can not justify the induced earthquake. </t>
  </si>
  <si>
    <t>Chen et al. (2017), Goebel et al. (2017), Johann and Shapiro (2020),  McGarr and Barbour (2017), Morgan and Murray (2015), Walsh III &amp; Zoback (2016), Yeck et al. (2016), Yu (2017)</t>
  </si>
  <si>
    <t>N85E</t>
  </si>
  <si>
    <t>N301E</t>
  </si>
  <si>
    <t>Injection through several wells but 3 located within a distance of 5 km</t>
  </si>
  <si>
    <t>Water: dynamic viscosity=0.28E-3 Pa.s, compressibility=4.6E-10 1/Pa, Density=1000 kg/m3</t>
  </si>
  <si>
    <t xml:space="preserve">Pore pressure diffusion can be the triggering mechanism although the possibility of other mechanisms like poroelastic stress transfer is not ruled out. </t>
  </si>
  <si>
    <t>Operation depth of three closest wells. The Mmax occured 10 months after the seismicity began on the fault</t>
  </si>
  <si>
    <t>Benz et al. (2015), Chen et al. (2018), Pennington et al. (2022), Schoenball et al. (2018), Wu et al. (2019)</t>
  </si>
  <si>
    <t>N290E</t>
  </si>
  <si>
    <t>Nearly 45% of this region’s seismicity, and currently nearly 15 M&gt;3 earthquakes per week</t>
  </si>
  <si>
    <t>Four high-rate disposal wells increase pore pressure up to (above) the reported triggering threshold (0.07MPa)</t>
  </si>
  <si>
    <t>Injection data for 4 wells combined (Fig. 3 in Keranen et al., 2014)</t>
  </si>
  <si>
    <t>Holland (2013b), Keranen et al. (2014), Kroll et al. (2017), Yu (2017)</t>
  </si>
  <si>
    <t>Goebel et al. (2015)</t>
  </si>
  <si>
    <t>N285</t>
  </si>
  <si>
    <t>Large volume injection by 8 wells</t>
  </si>
  <si>
    <t>71 foreshocks (0.6&lt;Mw&lt;3.8)</t>
  </si>
  <si>
    <t xml:space="preserve">Pore pressure build up by water injection into 8 wells and direct hydraulic connection with the basement has potentially triggered the earthquake. Regional induced earthquake in the Delaware Basin are linked with wastewater injection in the shallower Delaware sandstone layer. The Mentone sequence is an example of local earthquakes in this region modulated by direct hydraulic connection between the basement and the Ellenburger carbonates. </t>
  </si>
  <si>
    <t xml:space="preserve">Two HF jobs at distances of 2.4 and 2.9 km from the M5 earthquakes have been respectively completed 48 and 102 days before this earthquake. The possible link between the HF jobs and the earthquake requires complementary studies. </t>
  </si>
  <si>
    <t>Skoumal et al. (2020), Tung et al. (2020), Tung et al. (2021), Zhai et al. (2021)</t>
  </si>
  <si>
    <t>13 aftershocks</t>
  </si>
  <si>
    <t>McGarr (2014), Nicholson et al. (1988)</t>
  </si>
  <si>
    <t>N70W</t>
  </si>
  <si>
    <t>3350 (within 10 km May 1996 to 2003 December)</t>
  </si>
  <si>
    <t>Ake et al. (2005), Foxall et al. (2017)</t>
  </si>
  <si>
    <t>N107</t>
  </si>
  <si>
    <t>Labette Fault</t>
  </si>
  <si>
    <t>Both pore pressure diffusion and poroelastic stresses have probably triggered the earthquakes. Another possible mechanism can be the weigth of injected fluid into the reservoir applying stress on the underlying basement (Johann and Shapiro, 2020). Just like 2011 M5.7 Prague earthquake, static stress transfer by a foreshock (M3.7) could contribute to triggering the main shock (Chen et al., 2017).</t>
  </si>
  <si>
    <t>Barbour et al. (2017), Chen et al. (2017), Johann and Shapiro (2020), Manga et al. (2016), McGarr and Barbour (2017), Walsh III &amp; Zoback (2016), Yeck et al. (2017), Yu (2017), Zhai et al. (2019)</t>
  </si>
  <si>
    <t>N55</t>
  </si>
  <si>
    <t>MW5 foreshock, MW5 aftershock, &gt;10000 aftershocks</t>
  </si>
  <si>
    <t>Pore pressure diffusion, poroelastic stresses and statis weight of injected fluid (the reservoir was initially underpressured) are contributing mechanisms of induced seismicitiy in the underlying basement. The main shock could have triggered by static stress transfer from a M5.0 foreshock (Sumy et al., 2014)</t>
  </si>
  <si>
    <t>Chen et al. (2017), Johann and Shapiro (2020), Keranen et al. (2013), McGarr and Barbour (2017), McMahon et al. (2017), Norbeck &amp; Horne (2016), Sumy et al. (2014), Sun &amp; Hartzell (2014), Zhai et al. (2019)</t>
  </si>
  <si>
    <t>Barnhart et al. (2014), Nakai et al. (2017), Rubenstein et al. (2012), Rubinstein et al. (2014)</t>
  </si>
  <si>
    <t>13 ≥M3.8 (2001-2014)</t>
  </si>
  <si>
    <t>Direct pore pressure transmission from the injection reservoir to the basement through a high-permeability fault (D=0.01 m2/s): pore pressure increase of 0.08 MPa in the seismicity zone, broadly consistent in timing with the occurence of a dominant seismic sequence</t>
  </si>
  <si>
    <t xml:space="preserve">The earthquake has been nucleated within the basement. </t>
  </si>
  <si>
    <t>Barnhart et al. (2014), Nakai et al. (2017), Rubenstein et al. (2012), Rubenstein et al. (2014)</t>
  </si>
  <si>
    <t>N7 W</t>
  </si>
  <si>
    <t>Tejon Fault</t>
  </si>
  <si>
    <t>Water disposal near former large oil fields</t>
  </si>
  <si>
    <t>Goebel et al. (2015), Goebel et al. (2016), Zielke et al. (2012)</t>
  </si>
  <si>
    <t>N127E</t>
  </si>
  <si>
    <t>N137E</t>
  </si>
  <si>
    <t>&gt;65 and 5≥M3.9 (2012-2013)</t>
  </si>
  <si>
    <t>Direct pore pressure transmission caused by wastewater disposal leads to fault reactivation</t>
  </si>
  <si>
    <t>Injection into two layers with two wells, not sure if injection was episodic or continuous thoughout the month</t>
  </si>
  <si>
    <t>Fan et al. (2016), Frohlich et al. (2014), Frohlich et al. (2016), Shirzaei et al. (2016), Shirzaei et al. (2019), Thorpe (2017), Wang et al. (2020)</t>
  </si>
  <si>
    <t>Cumulative effect of five injector wells is hypothesised</t>
  </si>
  <si>
    <t>Scales et al. (2017)</t>
  </si>
  <si>
    <t>167, 12 above 1.8 M</t>
  </si>
  <si>
    <t>Brinkley (2016), Brudzinski and Kozłowska (2019), Dewers et al. (2014), Kim (2013), Luke (2019), Raziperchikolaee et al. (2018),  Seeber et al. (2004), Zhang et al. (2013)</t>
  </si>
  <si>
    <t>, McLellan (2012), Fox et al. (2019), Verdecchia et al. (2019), Peña Castro et al. (2020)</t>
  </si>
  <si>
    <t xml:space="preserve">Baisch et al. (2010), Calò et al. (2014), Cornet et al. (1997), Cuenot et al. (2006), Dorbath et al. (2009), Evans (2005),  </t>
  </si>
  <si>
    <t xml:space="preserve">Häring et al. (2008), Bachmann et al. (2011), Klose (2013), Majer et al. (2007), Valley et al. (2009), Terakawa et al. (2012), </t>
  </si>
  <si>
    <t xml:space="preserve">Nicholson and Wesson (1992), Julian et al. (1996), Majer (2007), </t>
  </si>
  <si>
    <t>Atkinson et al. (2016), Davey (2012), Eaton et al. (2019), Fox and Watson (2019), Mahani et al. (2017), McLellan (2012)</t>
  </si>
  <si>
    <t xml:space="preserve">Bao and Eaton (2016), Eyre et al. (2019), Fox and Soltanzadeh (2015), Hui et 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</si>
</sst>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
    <numFmt numFmtId="167" formatCode="yyyy&quot;-&quot;mm&quot;-&quot;dd"/>
    <numFmt numFmtId="168" formatCode="yyyy/mm/dd"/>
    <numFmt numFmtId="169" formatCode="yyyy\-mm\-dd"/>
  </numFmts>
  <fonts count="10" x14ac:knownFonts="1">
    <font>
      <sz val="11"/>
      <color theme="1"/>
      <name val="Calibri"/>
      <family val="2"/>
      <scheme val="minor"/>
    </font>
    <font>
      <sz val="11"/>
      <color theme="1"/>
      <name val="Calibri"/>
      <family val="2"/>
      <scheme val="minor"/>
    </font>
    <font>
      <b/>
      <sz val="9"/>
      <color rgb="FF000000"/>
      <name val="Times New Roman"/>
      <family val="1"/>
    </font>
    <font>
      <sz val="9"/>
      <name val="Times New Roman"/>
      <family val="1"/>
    </font>
    <font>
      <b/>
      <sz val="9"/>
      <color theme="1"/>
      <name val="Times New Roman"/>
      <family val="1"/>
    </font>
    <font>
      <sz val="9"/>
      <color theme="1"/>
      <name val="Times New Roman"/>
      <family val="1"/>
    </font>
    <font>
      <sz val="9"/>
      <color rgb="FF000000"/>
      <name val="Times New Roman"/>
      <family val="1"/>
    </font>
    <font>
      <sz val="9"/>
      <color rgb="FFFF0000"/>
      <name val="Times New Roman"/>
      <family val="1"/>
    </font>
    <font>
      <u/>
      <sz val="9"/>
      <color rgb="FF000000"/>
      <name val="Times New Roman"/>
      <family val="1"/>
    </font>
    <font>
      <u/>
      <sz val="9"/>
      <color theme="1"/>
      <name val="Times New Roman"/>
      <family val="1"/>
    </font>
  </fonts>
  <fills count="11">
    <fill>
      <patternFill patternType="none"/>
    </fill>
    <fill>
      <patternFill patternType="gray125"/>
    </fill>
    <fill>
      <patternFill patternType="solid">
        <fgColor rgb="FFC5E0B3"/>
        <bgColor rgb="FFC5E0B3"/>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7CAAC"/>
        <bgColor rgb="FFF7CAAC"/>
      </patternFill>
    </fill>
    <fill>
      <patternFill patternType="solid">
        <fgColor rgb="FFD0CECE"/>
        <bgColor rgb="FFD0CECE"/>
      </patternFill>
    </fill>
    <fill>
      <patternFill patternType="solid">
        <fgColor rgb="FFAEABAB"/>
        <bgColor rgb="FFAEABAB"/>
      </patternFill>
    </fill>
    <fill>
      <patternFill patternType="solid">
        <fgColor rgb="FFFFE598"/>
        <bgColor rgb="FFFFE598"/>
      </patternFill>
    </fill>
    <fill>
      <patternFill patternType="solid">
        <fgColor rgb="FF00B0F0"/>
        <bgColor rgb="FF00B0F0"/>
      </patternFill>
    </fill>
  </fills>
  <borders count="30">
    <border>
      <left/>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style="thin">
        <color rgb="FF000000"/>
      </left>
      <right style="thin">
        <color rgb="FF000000"/>
      </right>
      <top/>
      <bottom/>
      <diagonal/>
    </border>
    <border>
      <left/>
      <right/>
      <top/>
      <bottom style="thin">
        <color indexed="64"/>
      </bottom>
      <diagonal/>
    </border>
    <border>
      <left/>
      <right style="thin">
        <color rgb="FF000000"/>
      </right>
      <top/>
      <bottom/>
      <diagonal/>
    </border>
    <border>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diagonal/>
    </border>
    <border>
      <left style="thin">
        <color indexed="64"/>
      </left>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51">
    <xf numFmtId="0" fontId="0" fillId="0" borderId="0" xfId="0"/>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left" vertical="center"/>
    </xf>
    <xf numFmtId="0" fontId="5" fillId="0" borderId="1" xfId="0" applyFont="1" applyBorder="1" applyAlignment="1">
      <alignment horizontal="left" vertical="center"/>
    </xf>
    <xf numFmtId="164" fontId="5" fillId="0" borderId="8" xfId="0" applyNumberFormat="1" applyFont="1" applyBorder="1" applyAlignment="1">
      <alignment horizontal="center"/>
    </xf>
    <xf numFmtId="0" fontId="5" fillId="0" borderId="8" xfId="0" applyFont="1" applyBorder="1" applyAlignment="1">
      <alignment horizontal="left" vertical="center"/>
    </xf>
    <xf numFmtId="164" fontId="6" fillId="0" borderId="8" xfId="0" applyNumberFormat="1" applyFont="1" applyBorder="1" applyAlignment="1">
      <alignment horizontal="center"/>
    </xf>
    <xf numFmtId="164" fontId="6" fillId="0" borderId="0" xfId="0" applyNumberFormat="1" applyFont="1" applyAlignment="1">
      <alignment horizontal="center"/>
    </xf>
    <xf numFmtId="0" fontId="5" fillId="0" borderId="9" xfId="0" applyFont="1" applyBorder="1" applyAlignment="1">
      <alignment horizontal="left" vertical="center"/>
    </xf>
    <xf numFmtId="0" fontId="5" fillId="0" borderId="5" xfId="0" applyFont="1" applyBorder="1" applyAlignment="1">
      <alignment horizontal="left" vertical="center"/>
    </xf>
    <xf numFmtId="164" fontId="6" fillId="0" borderId="6" xfId="0" applyNumberFormat="1" applyFont="1" applyBorder="1" applyAlignment="1">
      <alignment horizontal="center"/>
    </xf>
    <xf numFmtId="0" fontId="5" fillId="0" borderId="6" xfId="0" applyFont="1" applyBorder="1" applyAlignment="1">
      <alignment horizontal="left" vertical="center"/>
    </xf>
    <xf numFmtId="0" fontId="6" fillId="0" borderId="8" xfId="0" applyFont="1" applyBorder="1" applyAlignment="1">
      <alignment horizontal="left" vertical="center"/>
    </xf>
    <xf numFmtId="0" fontId="5" fillId="0" borderId="8" xfId="0" applyFont="1" applyBorder="1"/>
    <xf numFmtId="0" fontId="5" fillId="0" borderId="10" xfId="0" applyFont="1" applyBorder="1" applyAlignment="1">
      <alignment horizontal="left" vertical="center"/>
    </xf>
    <xf numFmtId="0" fontId="6" fillId="0" borderId="1" xfId="0" applyFont="1" applyBorder="1" applyAlignment="1">
      <alignment horizontal="left" vertical="center"/>
    </xf>
    <xf numFmtId="0" fontId="5" fillId="0" borderId="0" xfId="0" applyFont="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6" fillId="0" borderId="0" xfId="0" applyFont="1" applyAlignment="1">
      <alignment horizontal="left" vertical="center"/>
    </xf>
    <xf numFmtId="0" fontId="5" fillId="0" borderId="11" xfId="0" applyFont="1" applyBorder="1" applyAlignment="1">
      <alignment horizontal="left" vertical="center"/>
    </xf>
    <xf numFmtId="0" fontId="6" fillId="0" borderId="10" xfId="0" applyFont="1" applyBorder="1" applyAlignment="1">
      <alignment horizontal="left" vertical="center"/>
    </xf>
    <xf numFmtId="0" fontId="6" fillId="0" borderId="5" xfId="0" applyFont="1" applyBorder="1" applyAlignment="1">
      <alignment horizontal="left" vertical="center"/>
    </xf>
    <xf numFmtId="0" fontId="5" fillId="0" borderId="0" xfId="0" applyFont="1"/>
    <xf numFmtId="0" fontId="5" fillId="0" borderId="1" xfId="0" applyFont="1" applyBorder="1"/>
    <xf numFmtId="164" fontId="5" fillId="0" borderId="8" xfId="0" applyNumberFormat="1" applyFont="1" applyBorder="1"/>
    <xf numFmtId="0" fontId="5" fillId="0" borderId="1" xfId="0" applyFont="1" applyBorder="1" applyAlignment="1">
      <alignment horizontal="left"/>
    </xf>
    <xf numFmtId="0" fontId="5" fillId="0" borderId="8" xfId="0" applyFont="1" applyBorder="1" applyAlignment="1">
      <alignment vertical="center"/>
    </xf>
    <xf numFmtId="164" fontId="6" fillId="0" borderId="9" xfId="0" applyNumberFormat="1" applyFont="1" applyBorder="1" applyAlignment="1">
      <alignment horizontal="center"/>
    </xf>
    <xf numFmtId="0" fontId="6" fillId="0" borderId="6" xfId="0" applyFont="1" applyBorder="1" applyAlignment="1">
      <alignment horizontal="left" vertical="center"/>
    </xf>
    <xf numFmtId="0" fontId="6" fillId="0" borderId="9"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xf>
    <xf numFmtId="0" fontId="5" fillId="0" borderId="8" xfId="0" applyFont="1"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10" xfId="0" applyFont="1" applyBorder="1" applyAlignment="1">
      <alignment horizontal="center" vertical="center"/>
    </xf>
    <xf numFmtId="0" fontId="5" fillId="0" borderId="22" xfId="0" applyFont="1" applyBorder="1" applyAlignment="1">
      <alignment horizontal="center" vertical="center"/>
    </xf>
    <xf numFmtId="0" fontId="5" fillId="0" borderId="5" xfId="0" applyFont="1" applyBorder="1" applyAlignment="1">
      <alignment horizontal="center" vertical="center"/>
    </xf>
    <xf numFmtId="0" fontId="5" fillId="0" borderId="16" xfId="0" applyFont="1" applyBorder="1" applyAlignment="1">
      <alignment horizontal="center" vertical="center"/>
    </xf>
    <xf numFmtId="0" fontId="5" fillId="0" borderId="9" xfId="0" applyFont="1" applyBorder="1" applyAlignment="1">
      <alignment horizontal="center" vertical="center"/>
    </xf>
    <xf numFmtId="0" fontId="5" fillId="0" borderId="7" xfId="0" applyFont="1" applyBorder="1" applyAlignment="1">
      <alignment horizontal="center" vertical="center"/>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5" fillId="0" borderId="15" xfId="0" applyFont="1" applyBorder="1" applyAlignment="1">
      <alignment horizontal="center" vertical="center"/>
    </xf>
    <xf numFmtId="0" fontId="6" fillId="0" borderId="5" xfId="0" applyFont="1" applyBorder="1" applyAlignment="1">
      <alignment horizontal="center" vertical="center"/>
    </xf>
    <xf numFmtId="49" fontId="5" fillId="0" borderId="6" xfId="0" applyNumberFormat="1" applyFont="1" applyBorder="1" applyAlignment="1">
      <alignment horizontal="center" vertical="center"/>
    </xf>
    <xf numFmtId="0" fontId="6" fillId="0" borderId="15" xfId="0" applyFont="1" applyBorder="1" applyAlignment="1">
      <alignment horizontal="center" vertical="center"/>
    </xf>
    <xf numFmtId="49" fontId="5" fillId="0" borderId="27" xfId="0" applyNumberFormat="1" applyFont="1" applyBorder="1" applyAlignment="1">
      <alignment horizontal="center" vertical="center"/>
    </xf>
    <xf numFmtId="0" fontId="5" fillId="0" borderId="26" xfId="0" applyFont="1" applyBorder="1" applyAlignment="1">
      <alignment horizontal="center" vertical="center"/>
    </xf>
    <xf numFmtId="2" fontId="5" fillId="0" borderId="1" xfId="0" applyNumberFormat="1" applyFont="1" applyBorder="1" applyAlignment="1">
      <alignment horizontal="center" vertical="center"/>
    </xf>
    <xf numFmtId="2" fontId="5" fillId="0" borderId="10" xfId="0" applyNumberFormat="1" applyFont="1" applyBorder="1" applyAlignment="1">
      <alignment horizontal="center" vertical="center"/>
    </xf>
    <xf numFmtId="4" fontId="5" fillId="0" borderId="1" xfId="0" applyNumberFormat="1" applyFont="1" applyBorder="1" applyAlignment="1">
      <alignment horizontal="center" vertical="center"/>
    </xf>
    <xf numFmtId="4" fontId="5" fillId="0" borderId="0" xfId="0" applyNumberFormat="1" applyFont="1" applyAlignment="1">
      <alignment horizontal="center" vertical="center"/>
    </xf>
    <xf numFmtId="4" fontId="5" fillId="0" borderId="10" xfId="0" applyNumberFormat="1" applyFont="1" applyBorder="1" applyAlignment="1">
      <alignment horizontal="center" vertical="center"/>
    </xf>
    <xf numFmtId="11" fontId="6" fillId="0" borderId="0" xfId="0" applyNumberFormat="1" applyFont="1" applyAlignment="1">
      <alignment horizontal="center" vertical="center"/>
    </xf>
    <xf numFmtId="11" fontId="6" fillId="0" borderId="10" xfId="0" applyNumberFormat="1" applyFont="1" applyBorder="1" applyAlignment="1">
      <alignment horizontal="center" vertical="center"/>
    </xf>
    <xf numFmtId="11" fontId="5" fillId="0" borderId="0" xfId="0" applyNumberFormat="1" applyFont="1" applyAlignment="1">
      <alignment horizontal="center" vertical="center"/>
    </xf>
    <xf numFmtId="11" fontId="5" fillId="0" borderId="10" xfId="0" applyNumberFormat="1" applyFont="1" applyBorder="1" applyAlignment="1">
      <alignment horizontal="center" vertical="center"/>
    </xf>
    <xf numFmtId="165" fontId="5" fillId="0" borderId="0" xfId="0" applyNumberFormat="1" applyFont="1" applyAlignment="1">
      <alignment horizontal="center" vertical="center"/>
    </xf>
    <xf numFmtId="165" fontId="5" fillId="0" borderId="10" xfId="0" applyNumberFormat="1" applyFont="1" applyBorder="1" applyAlignment="1">
      <alignment horizontal="center" vertical="center"/>
    </xf>
    <xf numFmtId="166" fontId="5" fillId="0" borderId="0" xfId="0" applyNumberFormat="1" applyFont="1" applyAlignment="1">
      <alignment horizontal="center" vertical="center"/>
    </xf>
    <xf numFmtId="2" fontId="5" fillId="0" borderId="0" xfId="0" applyNumberFormat="1" applyFont="1" applyAlignment="1">
      <alignment horizontal="center" vertical="center"/>
    </xf>
    <xf numFmtId="166" fontId="5" fillId="0" borderId="1" xfId="0" applyNumberFormat="1" applyFont="1" applyBorder="1" applyAlignment="1">
      <alignment horizontal="center" vertical="center"/>
    </xf>
    <xf numFmtId="165" fontId="5" fillId="0" borderId="1" xfId="0" applyNumberFormat="1" applyFont="1" applyBorder="1" applyAlignment="1">
      <alignment horizontal="center" vertical="center"/>
    </xf>
    <xf numFmtId="165" fontId="5" fillId="0" borderId="8" xfId="0" applyNumberFormat="1" applyFont="1" applyBorder="1" applyAlignment="1">
      <alignment horizontal="center" vertical="center"/>
    </xf>
    <xf numFmtId="167" fontId="6" fillId="0" borderId="1" xfId="0" applyNumberFormat="1" applyFont="1" applyBorder="1" applyAlignment="1">
      <alignment horizontal="center" vertical="center"/>
    </xf>
    <xf numFmtId="11" fontId="5" fillId="0" borderId="1" xfId="0" applyNumberFormat="1" applyFont="1" applyBorder="1" applyAlignment="1">
      <alignment horizontal="center" vertical="center"/>
    </xf>
    <xf numFmtId="2" fontId="5" fillId="0" borderId="8" xfId="0" applyNumberFormat="1" applyFont="1" applyBorder="1" applyAlignment="1">
      <alignment horizontal="center" vertical="center"/>
    </xf>
    <xf numFmtId="167" fontId="5" fillId="0" borderId="8" xfId="0" applyNumberFormat="1" applyFont="1" applyBorder="1" applyAlignment="1">
      <alignment horizontal="center" vertical="center"/>
    </xf>
    <xf numFmtId="2" fontId="5" fillId="0" borderId="28" xfId="0" applyNumberFormat="1" applyFont="1" applyBorder="1" applyAlignment="1">
      <alignment horizontal="center" vertical="center"/>
    </xf>
    <xf numFmtId="167" fontId="5" fillId="0" borderId="21" xfId="0" applyNumberFormat="1" applyFont="1" applyBorder="1" applyAlignment="1">
      <alignment horizontal="center" vertical="center"/>
    </xf>
    <xf numFmtId="0" fontId="5" fillId="0" borderId="22" xfId="0" applyFont="1" applyBorder="1" applyAlignment="1">
      <alignment horizontal="left" vertical="center"/>
    </xf>
    <xf numFmtId="2" fontId="5" fillId="0" borderId="8" xfId="0" applyNumberFormat="1" applyFont="1" applyBorder="1" applyAlignment="1">
      <alignment horizontal="center"/>
    </xf>
    <xf numFmtId="0" fontId="6" fillId="0" borderId="22" xfId="0" applyFont="1" applyBorder="1"/>
    <xf numFmtId="2" fontId="5" fillId="0" borderId="5" xfId="0" applyNumberFormat="1" applyFont="1" applyBorder="1" applyAlignment="1">
      <alignment horizontal="center" vertical="center"/>
    </xf>
    <xf numFmtId="2" fontId="5" fillId="0" borderId="7" xfId="0" applyNumberFormat="1" applyFont="1" applyBorder="1" applyAlignment="1">
      <alignment horizontal="center" vertical="center"/>
    </xf>
    <xf numFmtId="4" fontId="5" fillId="0" borderId="5" xfId="0" applyNumberFormat="1" applyFont="1" applyBorder="1" applyAlignment="1">
      <alignment horizontal="center" vertical="center"/>
    </xf>
    <xf numFmtId="4" fontId="5" fillId="0" borderId="9" xfId="0" applyNumberFormat="1" applyFont="1" applyBorder="1" applyAlignment="1">
      <alignment horizontal="center" vertical="center"/>
    </xf>
    <xf numFmtId="4" fontId="5" fillId="0" borderId="7" xfId="0" applyNumberFormat="1" applyFont="1" applyBorder="1" applyAlignment="1">
      <alignment horizontal="center" vertical="center"/>
    </xf>
    <xf numFmtId="11" fontId="5" fillId="0" borderId="9" xfId="0" applyNumberFormat="1" applyFont="1" applyBorder="1" applyAlignment="1">
      <alignment horizontal="center" vertical="center"/>
    </xf>
    <xf numFmtId="11" fontId="6" fillId="0" borderId="7" xfId="0" applyNumberFormat="1" applyFont="1" applyBorder="1" applyAlignment="1">
      <alignment horizontal="center" vertical="center"/>
    </xf>
    <xf numFmtId="11" fontId="5" fillId="0" borderId="7" xfId="0" applyNumberFormat="1" applyFont="1" applyBorder="1" applyAlignment="1">
      <alignment horizontal="center" vertical="center"/>
    </xf>
    <xf numFmtId="165" fontId="5" fillId="0" borderId="9" xfId="0" applyNumberFormat="1" applyFont="1" applyBorder="1" applyAlignment="1">
      <alignment horizontal="center" vertical="center"/>
    </xf>
    <xf numFmtId="165" fontId="5" fillId="0" borderId="7" xfId="0" applyNumberFormat="1" applyFont="1" applyBorder="1" applyAlignment="1">
      <alignment horizontal="center" vertical="center"/>
    </xf>
    <xf numFmtId="166" fontId="5" fillId="0" borderId="9" xfId="0" applyNumberFormat="1" applyFont="1" applyBorder="1" applyAlignment="1">
      <alignment horizontal="center" vertical="center"/>
    </xf>
    <xf numFmtId="2" fontId="5" fillId="0" borderId="9" xfId="0" applyNumberFormat="1" applyFont="1" applyBorder="1" applyAlignment="1">
      <alignment horizontal="center" vertical="center"/>
    </xf>
    <xf numFmtId="166" fontId="5" fillId="0" borderId="5" xfId="0" applyNumberFormat="1"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167" fontId="6" fillId="0" borderId="5" xfId="0" applyNumberFormat="1" applyFont="1" applyBorder="1" applyAlignment="1">
      <alignment horizontal="center" vertical="center"/>
    </xf>
    <xf numFmtId="11" fontId="5" fillId="0" borderId="5" xfId="0" applyNumberFormat="1" applyFont="1" applyBorder="1" applyAlignment="1">
      <alignment horizontal="center" vertical="center"/>
    </xf>
    <xf numFmtId="2" fontId="5" fillId="0" borderId="6" xfId="0" applyNumberFormat="1" applyFont="1" applyBorder="1" applyAlignment="1">
      <alignment horizontal="center" vertical="center"/>
    </xf>
    <xf numFmtId="167" fontId="5" fillId="0" borderId="6" xfId="0" applyNumberFormat="1" applyFont="1" applyBorder="1" applyAlignment="1">
      <alignment horizontal="center" vertical="center"/>
    </xf>
    <xf numFmtId="2" fontId="5" fillId="0" borderId="15" xfId="0" applyNumberFormat="1" applyFont="1" applyBorder="1" applyAlignment="1">
      <alignment horizontal="center" vertical="center"/>
    </xf>
    <xf numFmtId="167" fontId="5" fillId="0" borderId="27" xfId="0" applyNumberFormat="1" applyFont="1" applyBorder="1" applyAlignment="1">
      <alignment horizontal="center" vertical="center"/>
    </xf>
    <xf numFmtId="0" fontId="5" fillId="0" borderId="26" xfId="0" applyFont="1" applyBorder="1" applyAlignment="1">
      <alignment horizontal="left" vertical="center"/>
    </xf>
    <xf numFmtId="0" fontId="6" fillId="0" borderId="0" xfId="0" applyFont="1" applyAlignment="1">
      <alignment horizontal="center" vertical="center"/>
    </xf>
    <xf numFmtId="0" fontId="6" fillId="0" borderId="10" xfId="0" applyFont="1" applyBorder="1" applyAlignment="1">
      <alignment horizontal="center" vertical="center"/>
    </xf>
    <xf numFmtId="4" fontId="6" fillId="0" borderId="1" xfId="0" applyNumberFormat="1" applyFont="1" applyBorder="1" applyAlignment="1">
      <alignment horizontal="center" vertical="center"/>
    </xf>
    <xf numFmtId="4" fontId="6" fillId="0" borderId="10" xfId="0" applyNumberFormat="1" applyFont="1" applyBorder="1" applyAlignment="1">
      <alignment horizontal="center" vertical="center"/>
    </xf>
    <xf numFmtId="4" fontId="6" fillId="0" borderId="0" xfId="0" applyNumberFormat="1" applyFont="1" applyAlignment="1">
      <alignment horizontal="center" vertical="center"/>
    </xf>
    <xf numFmtId="165" fontId="6" fillId="0" borderId="0" xfId="0" applyNumberFormat="1" applyFont="1" applyAlignment="1">
      <alignment horizontal="center" vertical="center"/>
    </xf>
    <xf numFmtId="165" fontId="6" fillId="0" borderId="10" xfId="0" applyNumberFormat="1" applyFont="1" applyBorder="1" applyAlignment="1">
      <alignment horizontal="center" vertical="center"/>
    </xf>
    <xf numFmtId="166" fontId="6" fillId="0" borderId="0" xfId="0" applyNumberFormat="1" applyFont="1" applyAlignment="1">
      <alignment horizontal="center" vertical="center"/>
    </xf>
    <xf numFmtId="2" fontId="6" fillId="0" borderId="0" xfId="0" applyNumberFormat="1" applyFont="1" applyAlignment="1">
      <alignment horizontal="center" vertical="center"/>
    </xf>
    <xf numFmtId="166" fontId="6" fillId="0" borderId="1" xfId="0" applyNumberFormat="1" applyFont="1" applyBorder="1" applyAlignment="1">
      <alignment horizontal="center" vertical="center"/>
    </xf>
    <xf numFmtId="0" fontId="6" fillId="0" borderId="1" xfId="0" applyFont="1" applyBorder="1" applyAlignment="1">
      <alignment horizontal="center" vertical="center"/>
    </xf>
    <xf numFmtId="165" fontId="6" fillId="0" borderId="1" xfId="0" applyNumberFormat="1" applyFont="1" applyBorder="1" applyAlignment="1">
      <alignment horizontal="center" vertical="center"/>
    </xf>
    <xf numFmtId="165" fontId="6" fillId="0" borderId="8" xfId="0" applyNumberFormat="1" applyFont="1" applyBorder="1" applyAlignment="1">
      <alignment horizontal="center" vertical="center"/>
    </xf>
    <xf numFmtId="11" fontId="6" fillId="0" borderId="1" xfId="0" applyNumberFormat="1" applyFont="1" applyBorder="1" applyAlignment="1">
      <alignment horizontal="center" vertical="center"/>
    </xf>
    <xf numFmtId="167" fontId="5" fillId="0" borderId="11" xfId="0" applyNumberFormat="1" applyFont="1" applyBorder="1" applyAlignment="1">
      <alignment horizontal="center" vertical="center"/>
    </xf>
    <xf numFmtId="168" fontId="5" fillId="0" borderId="0" xfId="0" applyNumberFormat="1" applyFont="1" applyAlignment="1">
      <alignment horizontal="left" vertical="center"/>
    </xf>
    <xf numFmtId="167" fontId="6" fillId="0" borderId="21" xfId="0" applyNumberFormat="1" applyFont="1" applyBorder="1" applyAlignment="1">
      <alignment horizontal="center" vertical="center"/>
    </xf>
    <xf numFmtId="2" fontId="6" fillId="0" borderId="8" xfId="0" applyNumberFormat="1" applyFont="1" applyBorder="1" applyAlignment="1">
      <alignment horizontal="center" vertical="center"/>
    </xf>
    <xf numFmtId="2" fontId="7" fillId="0" borderId="0" xfId="0" applyNumberFormat="1" applyFont="1" applyAlignment="1">
      <alignment horizontal="center"/>
    </xf>
    <xf numFmtId="165" fontId="6" fillId="0" borderId="0" xfId="0" applyNumberFormat="1" applyFont="1" applyAlignment="1">
      <alignment horizontal="center"/>
    </xf>
    <xf numFmtId="165" fontId="7" fillId="0" borderId="10" xfId="0" applyNumberFormat="1" applyFont="1" applyBorder="1" applyAlignment="1">
      <alignment horizontal="left"/>
    </xf>
    <xf numFmtId="0" fontId="8" fillId="0" borderId="22" xfId="0" applyFont="1" applyBorder="1" applyAlignment="1">
      <alignment horizontal="left" vertical="center"/>
    </xf>
    <xf numFmtId="1" fontId="5" fillId="0" borderId="0" xfId="0" applyNumberFormat="1" applyFont="1" applyAlignment="1">
      <alignment horizontal="left" vertical="center"/>
    </xf>
    <xf numFmtId="0" fontId="5" fillId="0" borderId="0" xfId="0" applyFont="1" applyAlignment="1">
      <alignment horizontal="center"/>
    </xf>
    <xf numFmtId="4" fontId="5" fillId="0" borderId="1" xfId="0" applyNumberFormat="1" applyFont="1" applyBorder="1" applyAlignment="1">
      <alignment horizontal="center"/>
    </xf>
    <xf numFmtId="4" fontId="5" fillId="0" borderId="0" xfId="0" applyNumberFormat="1" applyFont="1" applyAlignment="1">
      <alignment horizontal="center"/>
    </xf>
    <xf numFmtId="4" fontId="5" fillId="0" borderId="10" xfId="0" applyNumberFormat="1" applyFont="1" applyBorder="1" applyAlignment="1">
      <alignment horizontal="center"/>
    </xf>
    <xf numFmtId="0" fontId="6" fillId="0" borderId="0" xfId="0" applyFont="1" applyAlignment="1">
      <alignment horizontal="center"/>
    </xf>
    <xf numFmtId="0" fontId="5" fillId="0" borderId="1" xfId="0" applyFont="1" applyBorder="1" applyAlignment="1">
      <alignment horizontal="center"/>
    </xf>
    <xf numFmtId="0" fontId="5" fillId="0" borderId="10" xfId="0" applyFont="1" applyBorder="1" applyAlignment="1">
      <alignment horizontal="center"/>
    </xf>
    <xf numFmtId="2" fontId="5" fillId="0" borderId="0" xfId="0" applyNumberFormat="1" applyFont="1" applyAlignment="1">
      <alignment horizontal="center"/>
    </xf>
    <xf numFmtId="2" fontId="5" fillId="0" borderId="10" xfId="0" applyNumberFormat="1" applyFont="1" applyBorder="1" applyAlignment="1">
      <alignment horizontal="center"/>
    </xf>
    <xf numFmtId="0" fontId="9" fillId="0" borderId="22" xfId="0" applyFont="1" applyBorder="1" applyAlignment="1">
      <alignment horizontal="left" vertical="center"/>
    </xf>
    <xf numFmtId="167" fontId="6" fillId="0" borderId="8" xfId="0" applyNumberFormat="1" applyFont="1" applyBorder="1" applyAlignment="1">
      <alignment horizontal="center" vertical="center"/>
    </xf>
    <xf numFmtId="11" fontId="5" fillId="0" borderId="8" xfId="0" applyNumberFormat="1" applyFont="1" applyBorder="1" applyAlignment="1">
      <alignment horizontal="center" vertical="center"/>
    </xf>
    <xf numFmtId="0" fontId="6" fillId="0" borderId="8" xfId="0" applyFont="1" applyBorder="1" applyAlignment="1">
      <alignment horizontal="center" vertical="center"/>
    </xf>
    <xf numFmtId="167" fontId="5" fillId="0" borderId="29" xfId="0" applyNumberFormat="1" applyFont="1" applyBorder="1" applyAlignment="1">
      <alignment horizontal="center" vertical="center"/>
    </xf>
    <xf numFmtId="165" fontId="5" fillId="0" borderId="1" xfId="0" applyNumberFormat="1" applyFont="1" applyBorder="1" applyAlignment="1">
      <alignment vertical="center"/>
    </xf>
    <xf numFmtId="165" fontId="5" fillId="0" borderId="10" xfId="0" applyNumberFormat="1" applyFont="1" applyBorder="1" applyAlignment="1">
      <alignment vertical="center"/>
    </xf>
    <xf numFmtId="168" fontId="5" fillId="0" borderId="0" xfId="0" applyNumberFormat="1" applyFont="1" applyAlignment="1">
      <alignment vertical="center"/>
    </xf>
    <xf numFmtId="0" fontId="6" fillId="0" borderId="22" xfId="0" applyFont="1" applyBorder="1" applyAlignment="1">
      <alignment vertical="center"/>
    </xf>
    <xf numFmtId="0" fontId="6" fillId="0" borderId="22" xfId="0" applyFont="1" applyBorder="1" applyAlignment="1">
      <alignment horizontal="left" vertical="center"/>
    </xf>
    <xf numFmtId="11" fontId="5" fillId="0" borderId="0" xfId="0" applyNumberFormat="1" applyFont="1" applyAlignment="1">
      <alignment horizontal="center"/>
    </xf>
    <xf numFmtId="2" fontId="6" fillId="0" borderId="10" xfId="0" applyNumberFormat="1" applyFont="1" applyBorder="1" applyAlignment="1">
      <alignment horizontal="center" vertical="center"/>
    </xf>
    <xf numFmtId="169" fontId="6" fillId="0" borderId="1" xfId="0" applyNumberFormat="1" applyFont="1" applyBorder="1" applyAlignment="1">
      <alignment horizontal="center" vertical="center"/>
    </xf>
    <xf numFmtId="2" fontId="5" fillId="0" borderId="1" xfId="0" applyNumberFormat="1" applyFont="1" applyBorder="1" applyAlignment="1">
      <alignment horizontal="center"/>
    </xf>
    <xf numFmtId="167" fontId="6" fillId="0" borderId="10" xfId="0" applyNumberFormat="1" applyFont="1" applyBorder="1" applyAlignment="1">
      <alignment horizontal="center" vertical="center"/>
    </xf>
    <xf numFmtId="167" fontId="5" fillId="0" borderId="10" xfId="0" applyNumberFormat="1" applyFont="1" applyBorder="1" applyAlignment="1">
      <alignment horizontal="center" vertical="center"/>
    </xf>
    <xf numFmtId="0" fontId="5" fillId="0" borderId="21" xfId="0" applyFont="1" applyBorder="1" applyAlignment="1">
      <alignment horizontal="center" vertical="center"/>
    </xf>
    <xf numFmtId="4" fontId="6" fillId="0" borderId="5" xfId="0" applyNumberFormat="1" applyFont="1" applyBorder="1" applyAlignment="1">
      <alignment horizontal="center" vertical="center"/>
    </xf>
    <xf numFmtId="11" fontId="6" fillId="0" borderId="9" xfId="0" applyNumberFormat="1" applyFont="1" applyBorder="1" applyAlignment="1">
      <alignment horizontal="center" vertical="center"/>
    </xf>
    <xf numFmtId="4" fontId="6" fillId="0" borderId="9" xfId="0" applyNumberFormat="1" applyFont="1" applyBorder="1" applyAlignment="1">
      <alignment horizontal="center" vertical="center"/>
    </xf>
    <xf numFmtId="4" fontId="6" fillId="0" borderId="7" xfId="0" applyNumberFormat="1" applyFont="1" applyBorder="1" applyAlignment="1">
      <alignment horizontal="center" vertical="center"/>
    </xf>
    <xf numFmtId="165" fontId="6" fillId="0" borderId="7" xfId="0" applyNumberFormat="1" applyFont="1" applyBorder="1" applyAlignment="1">
      <alignment horizontal="center" vertical="center"/>
    </xf>
    <xf numFmtId="166" fontId="6" fillId="0" borderId="9" xfId="0" applyNumberFormat="1" applyFont="1" applyBorder="1" applyAlignment="1">
      <alignment horizontal="center" vertical="center"/>
    </xf>
    <xf numFmtId="2" fontId="6" fillId="0" borderId="9" xfId="0" applyNumberFormat="1" applyFont="1" applyBorder="1" applyAlignment="1">
      <alignment horizontal="center" vertical="center"/>
    </xf>
    <xf numFmtId="166" fontId="6" fillId="0" borderId="5" xfId="0" applyNumberFormat="1" applyFont="1" applyBorder="1" applyAlignment="1">
      <alignment horizontal="center" vertical="center"/>
    </xf>
    <xf numFmtId="11" fontId="6" fillId="0" borderId="5" xfId="0" applyNumberFormat="1" applyFont="1" applyBorder="1" applyAlignment="1">
      <alignment horizontal="center" vertical="center"/>
    </xf>
    <xf numFmtId="165" fontId="6" fillId="0" borderId="9" xfId="0" applyNumberFormat="1" applyFont="1" applyBorder="1" applyAlignment="1">
      <alignment horizontal="center" vertical="center"/>
    </xf>
    <xf numFmtId="2" fontId="6" fillId="0" borderId="6" xfId="0" applyNumberFormat="1" applyFont="1" applyBorder="1" applyAlignment="1">
      <alignment horizontal="center" vertical="center"/>
    </xf>
    <xf numFmtId="0" fontId="6" fillId="0" borderId="6" xfId="0" applyFont="1" applyBorder="1" applyAlignment="1">
      <alignment horizontal="center" vertical="center"/>
    </xf>
    <xf numFmtId="167" fontId="6" fillId="0" borderId="27" xfId="0" applyNumberFormat="1" applyFont="1" applyBorder="1" applyAlignment="1">
      <alignment horizontal="center" vertical="center"/>
    </xf>
    <xf numFmtId="0" fontId="6" fillId="0" borderId="26" xfId="0" applyFont="1" applyBorder="1" applyAlignment="1">
      <alignment horizontal="left" vertical="center"/>
    </xf>
    <xf numFmtId="165" fontId="5" fillId="0" borderId="1" xfId="0" applyNumberFormat="1" applyFont="1" applyBorder="1"/>
    <xf numFmtId="11" fontId="5" fillId="0" borderId="1" xfId="0" applyNumberFormat="1" applyFont="1" applyBorder="1" applyAlignment="1">
      <alignment horizontal="center"/>
    </xf>
    <xf numFmtId="0" fontId="5" fillId="0" borderId="0" xfId="0" applyFont="1" applyAlignment="1">
      <alignment horizontal="left"/>
    </xf>
    <xf numFmtId="11" fontId="5" fillId="0" borderId="10" xfId="0" applyNumberFormat="1" applyFont="1" applyBorder="1" applyAlignment="1">
      <alignment horizontal="center"/>
    </xf>
    <xf numFmtId="165" fontId="5" fillId="0" borderId="10" xfId="0" applyNumberFormat="1" applyFont="1" applyBorder="1"/>
    <xf numFmtId="165" fontId="5" fillId="0" borderId="0" xfId="0" applyNumberFormat="1" applyFont="1" applyAlignment="1">
      <alignment horizontal="center"/>
    </xf>
    <xf numFmtId="165" fontId="5" fillId="0" borderId="10" xfId="0" applyNumberFormat="1" applyFont="1" applyBorder="1" applyAlignment="1">
      <alignment horizontal="center"/>
    </xf>
    <xf numFmtId="166" fontId="5" fillId="0" borderId="0" xfId="0" applyNumberFormat="1" applyFont="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0" borderId="8" xfId="0" applyFont="1" applyBorder="1" applyAlignment="1">
      <alignment horizontal="center"/>
    </xf>
    <xf numFmtId="165" fontId="5" fillId="0" borderId="8" xfId="0" applyNumberFormat="1" applyFont="1" applyBorder="1" applyAlignment="1">
      <alignment horizontal="center"/>
    </xf>
    <xf numFmtId="167" fontId="6" fillId="0" borderId="1" xfId="0" applyNumberFormat="1" applyFont="1" applyBorder="1" applyAlignment="1">
      <alignment horizontal="center"/>
    </xf>
    <xf numFmtId="167" fontId="5" fillId="0" borderId="8" xfId="0" applyNumberFormat="1" applyFont="1" applyBorder="1" applyAlignment="1">
      <alignment horizontal="center"/>
    </xf>
    <xf numFmtId="2" fontId="5" fillId="0" borderId="28" xfId="0" applyNumberFormat="1" applyFont="1" applyBorder="1" applyAlignment="1">
      <alignment horizontal="center"/>
    </xf>
    <xf numFmtId="167" fontId="5" fillId="0" borderId="21" xfId="0" applyNumberFormat="1" applyFont="1" applyBorder="1" applyAlignment="1">
      <alignment horizontal="center"/>
    </xf>
    <xf numFmtId="168" fontId="5" fillId="0" borderId="0" xfId="0" applyNumberFormat="1" applyFont="1"/>
    <xf numFmtId="0" fontId="5" fillId="0" borderId="22" xfId="0" applyFont="1" applyBorder="1"/>
    <xf numFmtId="0" fontId="1" fillId="0" borderId="0" xfId="0" applyFont="1"/>
    <xf numFmtId="167" fontId="5" fillId="0" borderId="1" xfId="0" applyNumberFormat="1" applyFont="1" applyBorder="1" applyAlignment="1">
      <alignment horizontal="center" vertical="center"/>
    </xf>
    <xf numFmtId="0" fontId="5" fillId="0" borderId="22" xfId="0" applyFont="1" applyBorder="1" applyAlignment="1">
      <alignment vertical="center"/>
    </xf>
    <xf numFmtId="0" fontId="6" fillId="0" borderId="0" xfId="0" applyFont="1"/>
    <xf numFmtId="165" fontId="6" fillId="0" borderId="10" xfId="0" applyNumberFormat="1" applyFont="1" applyBorder="1" applyAlignment="1">
      <alignment horizontal="left" vertical="center"/>
    </xf>
    <xf numFmtId="2" fontId="6" fillId="0" borderId="1" xfId="0" applyNumberFormat="1" applyFont="1" applyBorder="1" applyAlignment="1">
      <alignment horizontal="center" vertical="center"/>
    </xf>
    <xf numFmtId="2" fontId="6" fillId="0" borderId="28" xfId="0" applyNumberFormat="1" applyFont="1" applyBorder="1" applyAlignment="1">
      <alignment horizontal="center" vertical="center"/>
    </xf>
    <xf numFmtId="168" fontId="5" fillId="0" borderId="9" xfId="0" applyNumberFormat="1" applyFont="1" applyBorder="1" applyAlignment="1">
      <alignment horizontal="left" vertical="center"/>
    </xf>
    <xf numFmtId="167" fontId="6" fillId="0" borderId="11" xfId="0" applyNumberFormat="1" applyFont="1" applyBorder="1" applyAlignment="1">
      <alignment horizontal="center" vertical="center"/>
    </xf>
    <xf numFmtId="165" fontId="6" fillId="0" borderId="1" xfId="0" applyNumberFormat="1" applyFont="1" applyBorder="1" applyAlignment="1">
      <alignment horizontal="center"/>
    </xf>
    <xf numFmtId="11" fontId="6" fillId="0" borderId="10" xfId="0" applyNumberFormat="1" applyFont="1" applyBorder="1" applyAlignment="1">
      <alignment horizontal="center"/>
    </xf>
    <xf numFmtId="2" fontId="6" fillId="0" borderId="8" xfId="0" applyNumberFormat="1" applyFont="1" applyBorder="1" applyAlignment="1">
      <alignment horizontal="center"/>
    </xf>
    <xf numFmtId="2" fontId="6" fillId="0" borderId="0" xfId="0" applyNumberFormat="1" applyFont="1" applyAlignment="1">
      <alignment horizontal="center"/>
    </xf>
    <xf numFmtId="0" fontId="6" fillId="0" borderId="8" xfId="0" applyFont="1" applyBorder="1" applyAlignment="1">
      <alignment horizontal="center"/>
    </xf>
    <xf numFmtId="165" fontId="6" fillId="0" borderId="1" xfId="0" applyNumberFormat="1" applyFont="1" applyBorder="1" applyAlignment="1">
      <alignment horizontal="left"/>
    </xf>
    <xf numFmtId="0" fontId="6" fillId="0" borderId="22" xfId="0" applyFont="1" applyBorder="1" applyAlignment="1">
      <alignment horizontal="left"/>
    </xf>
    <xf numFmtId="2" fontId="5" fillId="0" borderId="1" xfId="0" applyNumberFormat="1" applyFont="1" applyBorder="1"/>
    <xf numFmtId="2" fontId="6" fillId="0" borderId="10" xfId="0" applyNumberFormat="1" applyFont="1" applyBorder="1" applyAlignment="1">
      <alignment horizontal="center"/>
    </xf>
    <xf numFmtId="165" fontId="6" fillId="0" borderId="10" xfId="0" applyNumberFormat="1" applyFont="1" applyBorder="1" applyAlignment="1">
      <alignment horizontal="left"/>
    </xf>
    <xf numFmtId="0" fontId="6" fillId="0" borderId="1" xfId="0" applyFont="1" applyBorder="1" applyAlignment="1">
      <alignment horizontal="center"/>
    </xf>
    <xf numFmtId="49" fontId="5" fillId="0" borderId="21" xfId="0" applyNumberFormat="1" applyFont="1" applyBorder="1" applyAlignment="1">
      <alignment horizontal="center" vertical="center"/>
    </xf>
    <xf numFmtId="0" fontId="3" fillId="0" borderId="25" xfId="0" applyFont="1" applyBorder="1"/>
    <xf numFmtId="0" fontId="5" fillId="0" borderId="0" xfId="0" applyFont="1" applyAlignment="1">
      <alignment horizontal="center" vertical="center"/>
    </xf>
    <xf numFmtId="0" fontId="3" fillId="0" borderId="13" xfId="0" applyFont="1" applyBorder="1"/>
    <xf numFmtId="0" fontId="5" fillId="0" borderId="22" xfId="0" applyFont="1" applyBorder="1" applyAlignment="1">
      <alignment horizontal="center" vertical="center"/>
    </xf>
    <xf numFmtId="0" fontId="3" fillId="0" borderId="26" xfId="0" applyFont="1" applyBorder="1"/>
    <xf numFmtId="0" fontId="5" fillId="0" borderId="2" xfId="0" applyFont="1" applyBorder="1" applyAlignment="1">
      <alignment horizontal="center" vertical="center"/>
    </xf>
    <xf numFmtId="0" fontId="3" fillId="0" borderId="4" xfId="0" applyFont="1" applyBorder="1"/>
    <xf numFmtId="0" fontId="5" fillId="0" borderId="19" xfId="0" applyFont="1" applyBorder="1" applyAlignment="1">
      <alignment horizontal="center" vertical="center"/>
    </xf>
    <xf numFmtId="0" fontId="5" fillId="0" borderId="8" xfId="0" applyFont="1" applyBorder="1" applyAlignment="1">
      <alignment horizontal="center" vertical="center"/>
    </xf>
    <xf numFmtId="0" fontId="3" fillId="0" borderId="23" xfId="0" applyFont="1" applyBorder="1"/>
    <xf numFmtId="0" fontId="5" fillId="0" borderId="1" xfId="0" applyFont="1" applyBorder="1" applyAlignment="1">
      <alignment horizontal="center" vertical="center"/>
    </xf>
    <xf numFmtId="0" fontId="3" fillId="0" borderId="10" xfId="0" applyFont="1" applyBorder="1"/>
    <xf numFmtId="0" fontId="5" fillId="0" borderId="10" xfId="0" applyFont="1" applyBorder="1" applyAlignment="1">
      <alignment horizontal="center" vertical="center"/>
    </xf>
    <xf numFmtId="0" fontId="3" fillId="0" borderId="24" xfId="0" applyFont="1" applyBorder="1"/>
    <xf numFmtId="0" fontId="3" fillId="0" borderId="19" xfId="0" applyFont="1" applyBorder="1"/>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6" fillId="0" borderId="2" xfId="0" applyFont="1" applyBorder="1" applyAlignment="1">
      <alignment horizontal="center" vertical="center"/>
    </xf>
    <xf numFmtId="49" fontId="6" fillId="0" borderId="3" xfId="0" applyNumberFormat="1" applyFont="1" applyBorder="1" applyAlignment="1">
      <alignment horizontal="center" vertical="center"/>
    </xf>
    <xf numFmtId="0" fontId="3" fillId="0" borderId="5" xfId="0" applyFont="1" applyBorder="1"/>
    <xf numFmtId="0" fontId="3" fillId="0" borderId="6" xfId="0" applyFont="1" applyBorder="1"/>
    <xf numFmtId="0" fontId="2" fillId="2" borderId="0" xfId="0" applyFont="1" applyFill="1" applyAlignment="1">
      <alignment horizontal="center" vertical="center"/>
    </xf>
    <xf numFmtId="0" fontId="3" fillId="0" borderId="0" xfId="0" applyFont="1"/>
    <xf numFmtId="0" fontId="4" fillId="3" borderId="1" xfId="0" applyFont="1" applyFill="1" applyBorder="1" applyAlignment="1">
      <alignment horizontal="center" vertical="center"/>
    </xf>
    <xf numFmtId="0" fontId="4" fillId="4" borderId="0" xfId="0" applyFont="1" applyFill="1" applyAlignment="1">
      <alignment horizontal="center" vertical="center"/>
    </xf>
    <xf numFmtId="0" fontId="5" fillId="0" borderId="4" xfId="0" applyFont="1" applyBorder="1" applyAlignment="1">
      <alignment horizontal="center" vertical="center"/>
    </xf>
    <xf numFmtId="0" fontId="5" fillId="0" borderId="7" xfId="0" applyFont="1" applyBorder="1"/>
    <xf numFmtId="0" fontId="4" fillId="7" borderId="13" xfId="0" applyFont="1" applyFill="1" applyBorder="1" applyAlignment="1">
      <alignment horizontal="center" vertical="center"/>
    </xf>
    <xf numFmtId="0" fontId="4" fillId="7" borderId="14" xfId="0" applyFont="1" applyFill="1" applyBorder="1" applyAlignment="1">
      <alignment horizontal="center" vertical="center"/>
    </xf>
    <xf numFmtId="0" fontId="4" fillId="8" borderId="15" xfId="0" applyFont="1" applyFill="1" applyBorder="1" applyAlignment="1">
      <alignment horizontal="center" vertical="center"/>
    </xf>
    <xf numFmtId="0" fontId="3" fillId="0" borderId="9" xfId="0" applyFont="1" applyBorder="1"/>
    <xf numFmtId="0" fontId="3" fillId="0" borderId="16" xfId="0" applyFont="1" applyBorder="1"/>
    <xf numFmtId="0" fontId="4" fillId="9" borderId="17" xfId="0" applyFont="1" applyFill="1" applyBorder="1" applyAlignment="1">
      <alignment horizontal="center" vertical="center"/>
    </xf>
    <xf numFmtId="0" fontId="3" fillId="0" borderId="18" xfId="0" applyFont="1" applyBorder="1"/>
    <xf numFmtId="0" fontId="4" fillId="5" borderId="0" xfId="0" applyFont="1" applyFill="1" applyAlignment="1">
      <alignment horizontal="center" vertical="center"/>
    </xf>
    <xf numFmtId="0" fontId="4" fillId="6" borderId="12" xfId="0" applyFont="1" applyFill="1" applyBorder="1" applyAlignment="1">
      <alignment horizontal="center" vertical="center"/>
    </xf>
    <xf numFmtId="0" fontId="3" fillId="0" borderId="14" xfId="0" applyFont="1" applyBorder="1"/>
    <xf numFmtId="0" fontId="6" fillId="0" borderId="19" xfId="0" applyFont="1" applyBorder="1" applyAlignment="1">
      <alignment horizontal="center" vertical="center"/>
    </xf>
    <xf numFmtId="0" fontId="4" fillId="10"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0" borderId="0" xfId="0" applyFont="1" applyAlignment="1">
      <alignment vertical="center" wrapText="1"/>
    </xf>
    <xf numFmtId="0" fontId="6" fillId="0" borderId="0" xfId="0" applyFont="1" applyAlignment="1">
      <alignment horizontal="left" vertical="center" wrapText="1"/>
    </xf>
    <xf numFmtId="49" fontId="5" fillId="0" borderId="0" xfId="0" applyNumberFormat="1" applyFont="1" applyAlignment="1">
      <alignment horizontal="left" vertical="center" wrapText="1"/>
    </xf>
    <xf numFmtId="0" fontId="5" fillId="0" borderId="0" xfId="0" applyFont="1" applyAlignment="1">
      <alignment wrapText="1"/>
    </xf>
    <xf numFmtId="0" fontId="6" fillId="0" borderId="0" xfId="0" applyFont="1" applyAlignment="1">
      <alignment wrapText="1"/>
    </xf>
    <xf numFmtId="0" fontId="6" fillId="0" borderId="0" xfId="0" applyFont="1" applyAlignment="1">
      <alignment horizontal="left" wrapText="1"/>
    </xf>
    <xf numFmtId="49" fontId="6" fillId="0" borderId="0" xfId="0" applyNumberFormat="1" applyFont="1" applyAlignment="1">
      <alignment wrapText="1"/>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rthquakes.bgs.ac.uk/induced/recent_uk_events.html" TargetMode="External"/><Relationship Id="rId2" Type="http://schemas.openxmlformats.org/officeDocument/2006/relationships/hyperlink" Target="http://www.conservation.ca.gov/dog/geothermal/manual/Pages/production.aspx" TargetMode="External"/><Relationship Id="rId1" Type="http://schemas.openxmlformats.org/officeDocument/2006/relationships/hyperlink" Target="https://www.cbc.ca/news/canada/british-columbia/earthquake-fort-st-john-fracking-1.4927898" TargetMode="External"/><Relationship Id="rId5" Type="http://schemas.openxmlformats.org/officeDocument/2006/relationships/printerSettings" Target="../printerSettings/printerSettings1.bin"/><Relationship Id="rId4" Type="http://schemas.openxmlformats.org/officeDocument/2006/relationships/hyperlink" Target="https://earthquakes.bgs.ac.uk/induced/recent_uk_even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A4FD-58A3-4A8F-A89D-6619A9D6C7BC}">
  <dimension ref="A1:EA162"/>
  <sheetViews>
    <sheetView tabSelected="1" topLeftCell="A118" workbookViewId="0">
      <selection activeCell="EG158" sqref="EG158"/>
    </sheetView>
  </sheetViews>
  <sheetFormatPr defaultRowHeight="14.6" x14ac:dyDescent="0.4"/>
  <cols>
    <col min="129" max="129" width="54.765625" customWidth="1"/>
    <col min="130" max="130" width="62.23046875" customWidth="1"/>
    <col min="131" max="131" width="99.15234375" style="250" customWidth="1"/>
  </cols>
  <sheetData>
    <row r="1" spans="1:131" x14ac:dyDescent="0.4">
      <c r="A1" s="222" t="s">
        <v>0</v>
      </c>
      <c r="B1" s="223"/>
      <c r="C1" s="223"/>
      <c r="D1" s="223"/>
      <c r="E1" s="223"/>
      <c r="F1" s="223"/>
      <c r="G1" s="224" t="s">
        <v>1</v>
      </c>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3"/>
      <c r="AO1" s="223"/>
      <c r="AP1" s="223"/>
      <c r="AQ1" s="225" t="s">
        <v>339</v>
      </c>
      <c r="AR1" s="223"/>
      <c r="AS1" s="223"/>
      <c r="AT1" s="223"/>
      <c r="AU1" s="223"/>
      <c r="AV1" s="223"/>
      <c r="AW1" s="223"/>
      <c r="AX1" s="223"/>
      <c r="AY1" s="223"/>
      <c r="AZ1" s="223"/>
      <c r="BA1" s="223"/>
      <c r="BB1" s="223"/>
      <c r="BC1" s="223"/>
      <c r="BD1" s="223"/>
      <c r="BE1" s="223"/>
      <c r="BF1" s="223"/>
      <c r="BG1" s="223"/>
      <c r="BH1" s="223"/>
      <c r="BI1" s="223"/>
      <c r="BJ1" s="223"/>
      <c r="BK1" s="223"/>
      <c r="BL1" s="223"/>
      <c r="BM1" s="223"/>
      <c r="BN1" s="235" t="s">
        <v>340</v>
      </c>
      <c r="BO1" s="223"/>
      <c r="BP1" s="223"/>
      <c r="BQ1" s="223"/>
      <c r="BR1" s="223"/>
      <c r="BS1" s="223"/>
      <c r="BT1" s="223"/>
      <c r="BU1" s="223"/>
      <c r="BV1" s="223"/>
      <c r="BW1" s="223"/>
      <c r="BX1" s="223"/>
      <c r="BY1" s="223"/>
      <c r="BZ1" s="223"/>
      <c r="CA1" s="223"/>
      <c r="CB1" s="223"/>
      <c r="CC1" s="223"/>
      <c r="CD1" s="223"/>
      <c r="CE1" s="223"/>
      <c r="CF1" s="223"/>
      <c r="CG1" s="223"/>
      <c r="CH1" s="223"/>
      <c r="CI1" s="223"/>
      <c r="CJ1" s="223"/>
      <c r="CK1" s="223"/>
      <c r="CL1" s="223"/>
      <c r="CM1" s="223"/>
      <c r="CN1" s="223"/>
      <c r="CO1" s="223"/>
      <c r="CP1" s="223"/>
      <c r="CQ1" s="223"/>
      <c r="CR1" s="223"/>
      <c r="CS1" s="223"/>
      <c r="CT1" s="223"/>
      <c r="CU1" s="236" t="s">
        <v>341</v>
      </c>
      <c r="CV1" s="203"/>
      <c r="CW1" s="203"/>
      <c r="CX1" s="203"/>
      <c r="CY1" s="203"/>
      <c r="CZ1" s="203"/>
      <c r="DA1" s="203"/>
      <c r="DB1" s="203"/>
      <c r="DC1" s="203"/>
      <c r="DD1" s="203"/>
      <c r="DE1" s="203"/>
      <c r="DF1" s="203"/>
      <c r="DG1" s="237"/>
      <c r="DH1" s="228" t="s">
        <v>342</v>
      </c>
      <c r="DI1" s="228"/>
      <c r="DJ1" s="228"/>
      <c r="DK1" s="228"/>
      <c r="DL1" s="228"/>
      <c r="DM1" s="228"/>
      <c r="DN1" s="228"/>
      <c r="DO1" s="228"/>
      <c r="DP1" s="228"/>
      <c r="DQ1" s="228"/>
      <c r="DR1" s="229"/>
      <c r="DS1" s="230" t="s">
        <v>343</v>
      </c>
      <c r="DT1" s="231"/>
      <c r="DU1" s="231"/>
      <c r="DV1" s="231"/>
      <c r="DW1" s="231"/>
      <c r="DX1" s="232"/>
      <c r="DY1" s="233" t="s">
        <v>344</v>
      </c>
      <c r="DZ1" s="234"/>
      <c r="EA1" s="239" t="s">
        <v>345</v>
      </c>
    </row>
    <row r="2" spans="1:131" x14ac:dyDescent="0.4">
      <c r="A2" s="206" t="s">
        <v>2</v>
      </c>
      <c r="B2" s="216" t="s">
        <v>3</v>
      </c>
      <c r="C2" s="216" t="s">
        <v>4</v>
      </c>
      <c r="D2" s="216" t="s">
        <v>5</v>
      </c>
      <c r="E2" s="216" t="s">
        <v>6</v>
      </c>
      <c r="F2" s="206" t="s">
        <v>7</v>
      </c>
      <c r="G2" s="216" t="s">
        <v>8</v>
      </c>
      <c r="H2" s="226" t="s">
        <v>9</v>
      </c>
      <c r="I2" s="206" t="s">
        <v>346</v>
      </c>
      <c r="J2" s="207"/>
      <c r="K2" s="206" t="s">
        <v>347</v>
      </c>
      <c r="L2" s="207"/>
      <c r="M2" s="206" t="s">
        <v>348</v>
      </c>
      <c r="N2" s="215"/>
      <c r="O2" s="207"/>
      <c r="P2" s="206" t="s">
        <v>349</v>
      </c>
      <c r="Q2" s="215"/>
      <c r="R2" s="207"/>
      <c r="S2" s="206" t="s">
        <v>350</v>
      </c>
      <c r="T2" s="215"/>
      <c r="U2" s="207"/>
      <c r="V2" s="206" t="s">
        <v>351</v>
      </c>
      <c r="W2" s="215"/>
      <c r="X2" s="215"/>
      <c r="Y2" s="206" t="s">
        <v>352</v>
      </c>
      <c r="Z2" s="215"/>
      <c r="AA2" s="206" t="s">
        <v>353</v>
      </c>
      <c r="AB2" s="215"/>
      <c r="AC2" s="206" t="s">
        <v>354</v>
      </c>
      <c r="AD2" s="215"/>
      <c r="AE2" s="206" t="s">
        <v>355</v>
      </c>
      <c r="AF2" s="207"/>
      <c r="AG2" s="206" t="s">
        <v>356</v>
      </c>
      <c r="AH2" s="215"/>
      <c r="AI2" s="206" t="s">
        <v>357</v>
      </c>
      <c r="AJ2" s="207"/>
      <c r="AK2" s="206" t="s">
        <v>358</v>
      </c>
      <c r="AL2" s="207"/>
      <c r="AM2" s="206" t="s">
        <v>359</v>
      </c>
      <c r="AN2" s="207"/>
      <c r="AO2" s="206" t="s">
        <v>360</v>
      </c>
      <c r="AP2" s="207"/>
      <c r="AQ2" s="238" t="s">
        <v>361</v>
      </c>
      <c r="AR2" s="207"/>
      <c r="AS2" s="216" t="s">
        <v>362</v>
      </c>
      <c r="AT2" s="208" t="s">
        <v>363</v>
      </c>
      <c r="AU2" s="215"/>
      <c r="AV2" s="215"/>
      <c r="AW2" s="207"/>
      <c r="AX2" s="206" t="s">
        <v>364</v>
      </c>
      <c r="AY2" s="215"/>
      <c r="AZ2" s="215"/>
      <c r="BA2" s="207"/>
      <c r="BB2" s="206" t="s">
        <v>365</v>
      </c>
      <c r="BC2" s="215"/>
      <c r="BD2" s="215"/>
      <c r="BE2" s="207"/>
      <c r="BF2" s="206" t="s">
        <v>366</v>
      </c>
      <c r="BG2" s="207"/>
      <c r="BH2" s="206" t="s">
        <v>367</v>
      </c>
      <c r="BI2" s="215"/>
      <c r="BJ2" s="215"/>
      <c r="BK2" s="207"/>
      <c r="BL2" s="206" t="s">
        <v>368</v>
      </c>
      <c r="BM2" s="207"/>
      <c r="BN2" s="206" t="s">
        <v>369</v>
      </c>
      <c r="BO2" s="207"/>
      <c r="BP2" s="218" t="s">
        <v>370</v>
      </c>
      <c r="BQ2" s="207"/>
      <c r="BR2" s="218" t="s">
        <v>371</v>
      </c>
      <c r="BS2" s="207"/>
      <c r="BT2" s="1" t="s">
        <v>372</v>
      </c>
      <c r="BU2" s="2" t="s">
        <v>373</v>
      </c>
      <c r="BV2" s="206" t="s">
        <v>374</v>
      </c>
      <c r="BW2" s="207"/>
      <c r="BX2" s="218" t="s">
        <v>375</v>
      </c>
      <c r="BY2" s="207"/>
      <c r="BZ2" s="1" t="s">
        <v>376</v>
      </c>
      <c r="CA2" s="206" t="s">
        <v>377</v>
      </c>
      <c r="CB2" s="215"/>
      <c r="CC2" s="206" t="s">
        <v>347</v>
      </c>
      <c r="CD2" s="207"/>
      <c r="CE2" s="206" t="s">
        <v>348</v>
      </c>
      <c r="CF2" s="215"/>
      <c r="CG2" s="206" t="s">
        <v>349</v>
      </c>
      <c r="CH2" s="207"/>
      <c r="CI2" s="206" t="s">
        <v>378</v>
      </c>
      <c r="CJ2" s="207"/>
      <c r="CK2" s="206" t="s">
        <v>379</v>
      </c>
      <c r="CL2" s="207"/>
      <c r="CM2" s="208" t="s">
        <v>380</v>
      </c>
      <c r="CN2" s="207"/>
      <c r="CO2" s="206" t="s">
        <v>350</v>
      </c>
      <c r="CP2" s="207"/>
      <c r="CQ2" s="206" t="s">
        <v>381</v>
      </c>
      <c r="CR2" s="207"/>
      <c r="CS2" s="206" t="s">
        <v>355</v>
      </c>
      <c r="CT2" s="207"/>
      <c r="CU2" s="206" t="s">
        <v>382</v>
      </c>
      <c r="CV2" s="207"/>
      <c r="CW2" s="216" t="s">
        <v>383</v>
      </c>
      <c r="CX2" s="219" t="s">
        <v>384</v>
      </c>
      <c r="CY2" s="216" t="s">
        <v>385</v>
      </c>
      <c r="CZ2" s="216" t="s">
        <v>386</v>
      </c>
      <c r="DA2" s="216" t="s">
        <v>387</v>
      </c>
      <c r="DB2" s="206" t="s">
        <v>388</v>
      </c>
      <c r="DC2" s="215"/>
      <c r="DD2" s="217" t="s">
        <v>389</v>
      </c>
      <c r="DE2" s="207"/>
      <c r="DF2" s="216" t="s">
        <v>390</v>
      </c>
      <c r="DG2" s="216" t="s">
        <v>391</v>
      </c>
      <c r="DH2" s="216" t="s">
        <v>392</v>
      </c>
      <c r="DI2" s="208" t="s">
        <v>393</v>
      </c>
      <c r="DJ2" s="216" t="s">
        <v>394</v>
      </c>
      <c r="DK2" s="206" t="s">
        <v>395</v>
      </c>
      <c r="DL2" s="215"/>
      <c r="DM2" s="206" t="s">
        <v>396</v>
      </c>
      <c r="DN2" s="215"/>
      <c r="DO2" s="206" t="s">
        <v>397</v>
      </c>
      <c r="DP2" s="207"/>
      <c r="DQ2" s="208" t="s">
        <v>398</v>
      </c>
      <c r="DR2" s="207"/>
      <c r="DS2" s="209" t="s">
        <v>399</v>
      </c>
      <c r="DT2" s="202" t="s">
        <v>400</v>
      </c>
      <c r="DU2" s="211" t="s">
        <v>401</v>
      </c>
      <c r="DV2" s="212"/>
      <c r="DW2" s="213" t="s">
        <v>402</v>
      </c>
      <c r="DX2" s="200" t="s">
        <v>403</v>
      </c>
      <c r="DY2" s="202" t="s">
        <v>404</v>
      </c>
      <c r="DZ2" s="204" t="s">
        <v>405</v>
      </c>
      <c r="EA2" s="239"/>
    </row>
    <row r="3" spans="1:131" x14ac:dyDescent="0.4">
      <c r="A3" s="220"/>
      <c r="B3" s="221"/>
      <c r="C3" s="221"/>
      <c r="D3" s="221"/>
      <c r="E3" s="221"/>
      <c r="F3" s="220"/>
      <c r="G3" s="221"/>
      <c r="H3" s="227"/>
      <c r="I3" s="40" t="s">
        <v>406</v>
      </c>
      <c r="J3" s="41" t="s">
        <v>407</v>
      </c>
      <c r="K3" s="42" t="s">
        <v>406</v>
      </c>
      <c r="L3" s="43" t="s">
        <v>407</v>
      </c>
      <c r="M3" s="40" t="s">
        <v>406</v>
      </c>
      <c r="N3" s="42" t="s">
        <v>407</v>
      </c>
      <c r="O3" s="43" t="s">
        <v>408</v>
      </c>
      <c r="P3" s="42" t="s">
        <v>406</v>
      </c>
      <c r="Q3" s="42" t="s">
        <v>407</v>
      </c>
      <c r="R3" s="43" t="s">
        <v>408</v>
      </c>
      <c r="S3" s="40" t="s">
        <v>406</v>
      </c>
      <c r="T3" s="42" t="s">
        <v>407</v>
      </c>
      <c r="U3" s="43" t="s">
        <v>408</v>
      </c>
      <c r="V3" s="42" t="s">
        <v>406</v>
      </c>
      <c r="W3" s="42" t="s">
        <v>407</v>
      </c>
      <c r="X3" s="43" t="s">
        <v>408</v>
      </c>
      <c r="Y3" s="40" t="s">
        <v>406</v>
      </c>
      <c r="Z3" s="43" t="s">
        <v>407</v>
      </c>
      <c r="AA3" s="40" t="s">
        <v>406</v>
      </c>
      <c r="AB3" s="43" t="s">
        <v>407</v>
      </c>
      <c r="AC3" s="40" t="s">
        <v>406</v>
      </c>
      <c r="AD3" s="43" t="s">
        <v>407</v>
      </c>
      <c r="AE3" s="40" t="s">
        <v>406</v>
      </c>
      <c r="AF3" s="43" t="s">
        <v>407</v>
      </c>
      <c r="AG3" s="42" t="s">
        <v>406</v>
      </c>
      <c r="AH3" s="43" t="s">
        <v>407</v>
      </c>
      <c r="AI3" s="40" t="s">
        <v>406</v>
      </c>
      <c r="AJ3" s="43" t="s">
        <v>407</v>
      </c>
      <c r="AK3" s="42" t="s">
        <v>406</v>
      </c>
      <c r="AL3" s="43" t="s">
        <v>407</v>
      </c>
      <c r="AM3" s="40" t="s">
        <v>406</v>
      </c>
      <c r="AN3" s="43" t="s">
        <v>407</v>
      </c>
      <c r="AO3" s="42" t="s">
        <v>406</v>
      </c>
      <c r="AP3" s="43" t="s">
        <v>407</v>
      </c>
      <c r="AQ3" s="44" t="s">
        <v>406</v>
      </c>
      <c r="AR3" s="45" t="s">
        <v>407</v>
      </c>
      <c r="AS3" s="221"/>
      <c r="AT3" s="42" t="s">
        <v>409</v>
      </c>
      <c r="AU3" s="42" t="s">
        <v>410</v>
      </c>
      <c r="AV3" s="42" t="s">
        <v>406</v>
      </c>
      <c r="AW3" s="43" t="s">
        <v>407</v>
      </c>
      <c r="AX3" s="40" t="s">
        <v>409</v>
      </c>
      <c r="AY3" s="42" t="s">
        <v>410</v>
      </c>
      <c r="AZ3" s="42" t="s">
        <v>406</v>
      </c>
      <c r="BA3" s="43" t="s">
        <v>407</v>
      </c>
      <c r="BB3" s="42" t="s">
        <v>409</v>
      </c>
      <c r="BC3" s="42" t="s">
        <v>410</v>
      </c>
      <c r="BD3" s="42" t="s">
        <v>406</v>
      </c>
      <c r="BE3" s="43" t="s">
        <v>407</v>
      </c>
      <c r="BF3" s="42" t="s">
        <v>406</v>
      </c>
      <c r="BG3" s="43" t="s">
        <v>407</v>
      </c>
      <c r="BH3" s="42" t="s">
        <v>409</v>
      </c>
      <c r="BI3" s="42" t="s">
        <v>410</v>
      </c>
      <c r="BJ3" s="42" t="s">
        <v>406</v>
      </c>
      <c r="BK3" s="43" t="s">
        <v>407</v>
      </c>
      <c r="BL3" s="40" t="s">
        <v>406</v>
      </c>
      <c r="BM3" s="43" t="s">
        <v>407</v>
      </c>
      <c r="BN3" s="40" t="s">
        <v>406</v>
      </c>
      <c r="BO3" s="43" t="s">
        <v>407</v>
      </c>
      <c r="BP3" s="44" t="s">
        <v>406</v>
      </c>
      <c r="BQ3" s="45" t="s">
        <v>407</v>
      </c>
      <c r="BR3" s="40" t="s">
        <v>406</v>
      </c>
      <c r="BS3" s="43" t="s">
        <v>407</v>
      </c>
      <c r="BT3" s="43"/>
      <c r="BU3" s="43"/>
      <c r="BV3" s="42" t="s">
        <v>406</v>
      </c>
      <c r="BW3" s="43" t="s">
        <v>407</v>
      </c>
      <c r="BX3" s="44" t="s">
        <v>406</v>
      </c>
      <c r="BY3" s="45" t="s">
        <v>407</v>
      </c>
      <c r="BZ3" s="43"/>
      <c r="CA3" s="42" t="s">
        <v>406</v>
      </c>
      <c r="CB3" s="43" t="s">
        <v>407</v>
      </c>
      <c r="CC3" s="40" t="s">
        <v>406</v>
      </c>
      <c r="CD3" s="43" t="s">
        <v>407</v>
      </c>
      <c r="CE3" s="42" t="s">
        <v>406</v>
      </c>
      <c r="CF3" s="43" t="s">
        <v>407</v>
      </c>
      <c r="CG3" s="40" t="s">
        <v>406</v>
      </c>
      <c r="CH3" s="43" t="s">
        <v>407</v>
      </c>
      <c r="CI3" s="42" t="s">
        <v>406</v>
      </c>
      <c r="CJ3" s="43" t="s">
        <v>407</v>
      </c>
      <c r="CK3" s="40" t="s">
        <v>406</v>
      </c>
      <c r="CL3" s="43" t="s">
        <v>407</v>
      </c>
      <c r="CM3" s="42" t="s">
        <v>406</v>
      </c>
      <c r="CN3" s="43" t="s">
        <v>407</v>
      </c>
      <c r="CO3" s="40" t="s">
        <v>406</v>
      </c>
      <c r="CP3" s="43" t="s">
        <v>407</v>
      </c>
      <c r="CQ3" s="40" t="s">
        <v>406</v>
      </c>
      <c r="CR3" s="43" t="s">
        <v>407</v>
      </c>
      <c r="CS3" s="40" t="s">
        <v>406</v>
      </c>
      <c r="CT3" s="43" t="s">
        <v>407</v>
      </c>
      <c r="CU3" s="40" t="s">
        <v>411</v>
      </c>
      <c r="CV3" s="43" t="s">
        <v>412</v>
      </c>
      <c r="CW3" s="210"/>
      <c r="CX3" s="210"/>
      <c r="CY3" s="210"/>
      <c r="CZ3" s="210"/>
      <c r="DA3" s="210"/>
      <c r="DB3" s="40" t="s">
        <v>406</v>
      </c>
      <c r="DC3" s="42" t="s">
        <v>407</v>
      </c>
      <c r="DD3" s="46" t="s">
        <v>406</v>
      </c>
      <c r="DE3" s="43" t="s">
        <v>407</v>
      </c>
      <c r="DF3" s="210"/>
      <c r="DG3" s="210"/>
      <c r="DH3" s="210"/>
      <c r="DI3" s="203"/>
      <c r="DJ3" s="210"/>
      <c r="DK3" s="42" t="s">
        <v>411</v>
      </c>
      <c r="DL3" s="42" t="s">
        <v>412</v>
      </c>
      <c r="DM3" s="46" t="s">
        <v>409</v>
      </c>
      <c r="DN3" s="42" t="s">
        <v>410</v>
      </c>
      <c r="DO3" s="46" t="s">
        <v>409</v>
      </c>
      <c r="DP3" s="42" t="s">
        <v>410</v>
      </c>
      <c r="DQ3" s="46" t="s">
        <v>409</v>
      </c>
      <c r="DR3" s="42" t="s">
        <v>410</v>
      </c>
      <c r="DS3" s="210"/>
      <c r="DT3" s="203"/>
      <c r="DU3" s="40" t="s">
        <v>413</v>
      </c>
      <c r="DV3" s="43" t="s">
        <v>414</v>
      </c>
      <c r="DW3" s="214"/>
      <c r="DX3" s="201"/>
      <c r="DY3" s="203"/>
      <c r="DZ3" s="205"/>
      <c r="EA3" s="239"/>
    </row>
    <row r="4" spans="1:131" x14ac:dyDescent="0.4">
      <c r="A4" s="3" t="s">
        <v>10</v>
      </c>
      <c r="B4" s="3" t="s">
        <v>11</v>
      </c>
      <c r="C4" s="3" t="s">
        <v>12</v>
      </c>
      <c r="D4" s="3" t="s">
        <v>13</v>
      </c>
      <c r="E4" s="3" t="s">
        <v>14</v>
      </c>
      <c r="F4" s="3" t="s">
        <v>15</v>
      </c>
      <c r="G4" s="3" t="s">
        <v>16</v>
      </c>
      <c r="H4" s="3" t="s">
        <v>17</v>
      </c>
      <c r="I4" s="47" t="s">
        <v>415</v>
      </c>
      <c r="J4" s="45" t="s">
        <v>416</v>
      </c>
      <c r="K4" s="44" t="s">
        <v>417</v>
      </c>
      <c r="L4" s="45" t="s">
        <v>418</v>
      </c>
      <c r="M4" s="44" t="s">
        <v>419</v>
      </c>
      <c r="N4" s="44" t="s">
        <v>420</v>
      </c>
      <c r="O4" s="45" t="s">
        <v>421</v>
      </c>
      <c r="P4" s="44" t="s">
        <v>422</v>
      </c>
      <c r="Q4" s="44" t="s">
        <v>423</v>
      </c>
      <c r="R4" s="45" t="s">
        <v>424</v>
      </c>
      <c r="S4" s="44" t="s">
        <v>425</v>
      </c>
      <c r="T4" s="44" t="s">
        <v>426</v>
      </c>
      <c r="U4" s="45" t="s">
        <v>427</v>
      </c>
      <c r="V4" s="44" t="s">
        <v>428</v>
      </c>
      <c r="W4" s="44" t="s">
        <v>429</v>
      </c>
      <c r="X4" s="45" t="s">
        <v>430</v>
      </c>
      <c r="Y4" s="44" t="s">
        <v>431</v>
      </c>
      <c r="Z4" s="45" t="s">
        <v>432</v>
      </c>
      <c r="AA4" s="44" t="s">
        <v>433</v>
      </c>
      <c r="AB4" s="45" t="s">
        <v>433</v>
      </c>
      <c r="AC4" s="44" t="s">
        <v>434</v>
      </c>
      <c r="AD4" s="45" t="s">
        <v>435</v>
      </c>
      <c r="AE4" s="44" t="s">
        <v>436</v>
      </c>
      <c r="AF4" s="45" t="s">
        <v>437</v>
      </c>
      <c r="AG4" s="44" t="s">
        <v>438</v>
      </c>
      <c r="AH4" s="45" t="s">
        <v>439</v>
      </c>
      <c r="AI4" s="44" t="s">
        <v>440</v>
      </c>
      <c r="AJ4" s="45" t="s">
        <v>441</v>
      </c>
      <c r="AK4" s="44" t="s">
        <v>442</v>
      </c>
      <c r="AL4" s="45" t="s">
        <v>443</v>
      </c>
      <c r="AM4" s="44" t="s">
        <v>444</v>
      </c>
      <c r="AN4" s="45" t="s">
        <v>445</v>
      </c>
      <c r="AO4" s="44" t="s">
        <v>446</v>
      </c>
      <c r="AP4" s="45" t="s">
        <v>447</v>
      </c>
      <c r="AQ4" s="44" t="s">
        <v>448</v>
      </c>
      <c r="AR4" s="45" t="s">
        <v>449</v>
      </c>
      <c r="AS4" s="45" t="s">
        <v>450</v>
      </c>
      <c r="AT4" s="44" t="s">
        <v>451</v>
      </c>
      <c r="AU4" s="44" t="s">
        <v>452</v>
      </c>
      <c r="AV4" s="44" t="s">
        <v>453</v>
      </c>
      <c r="AW4" s="45" t="s">
        <v>454</v>
      </c>
      <c r="AX4" s="44" t="s">
        <v>455</v>
      </c>
      <c r="AY4" s="44" t="s">
        <v>456</v>
      </c>
      <c r="AZ4" s="44" t="s">
        <v>457</v>
      </c>
      <c r="BA4" s="45" t="s">
        <v>458</v>
      </c>
      <c r="BB4" s="44" t="s">
        <v>459</v>
      </c>
      <c r="BC4" s="44" t="s">
        <v>460</v>
      </c>
      <c r="BD4" s="44" t="s">
        <v>461</v>
      </c>
      <c r="BE4" s="45" t="s">
        <v>462</v>
      </c>
      <c r="BF4" s="44" t="s">
        <v>463</v>
      </c>
      <c r="BG4" s="45" t="s">
        <v>464</v>
      </c>
      <c r="BH4" s="44" t="s">
        <v>465</v>
      </c>
      <c r="BI4" s="44" t="s">
        <v>466</v>
      </c>
      <c r="BJ4" s="44" t="s">
        <v>467</v>
      </c>
      <c r="BK4" s="45" t="s">
        <v>468</v>
      </c>
      <c r="BL4" s="44" t="s">
        <v>469</v>
      </c>
      <c r="BM4" s="45" t="s">
        <v>470</v>
      </c>
      <c r="BN4" s="44" t="s">
        <v>471</v>
      </c>
      <c r="BO4" s="45" t="s">
        <v>472</v>
      </c>
      <c r="BP4" s="44" t="s">
        <v>473</v>
      </c>
      <c r="BQ4" s="45" t="s">
        <v>474</v>
      </c>
      <c r="BR4" s="44" t="s">
        <v>475</v>
      </c>
      <c r="BS4" s="45" t="s">
        <v>476</v>
      </c>
      <c r="BT4" s="45" t="s">
        <v>477</v>
      </c>
      <c r="BU4" s="45" t="s">
        <v>478</v>
      </c>
      <c r="BV4" s="44" t="s">
        <v>479</v>
      </c>
      <c r="BW4" s="45" t="s">
        <v>480</v>
      </c>
      <c r="BX4" s="44" t="s">
        <v>481</v>
      </c>
      <c r="BY4" s="45" t="s">
        <v>482</v>
      </c>
      <c r="BZ4" s="45" t="s">
        <v>483</v>
      </c>
      <c r="CA4" s="44" t="s">
        <v>484</v>
      </c>
      <c r="CB4" s="45" t="s">
        <v>485</v>
      </c>
      <c r="CC4" s="44" t="s">
        <v>486</v>
      </c>
      <c r="CD4" s="45" t="s">
        <v>487</v>
      </c>
      <c r="CE4" s="44" t="s">
        <v>488</v>
      </c>
      <c r="CF4" s="45" t="s">
        <v>489</v>
      </c>
      <c r="CG4" s="44" t="s">
        <v>490</v>
      </c>
      <c r="CH4" s="45" t="s">
        <v>491</v>
      </c>
      <c r="CI4" s="44" t="s">
        <v>492</v>
      </c>
      <c r="CJ4" s="45" t="s">
        <v>493</v>
      </c>
      <c r="CK4" s="44" t="s">
        <v>494</v>
      </c>
      <c r="CL4" s="45" t="s">
        <v>495</v>
      </c>
      <c r="CM4" s="44" t="s">
        <v>496</v>
      </c>
      <c r="CN4" s="45" t="s">
        <v>497</v>
      </c>
      <c r="CO4" s="44" t="s">
        <v>498</v>
      </c>
      <c r="CP4" s="45" t="s">
        <v>499</v>
      </c>
      <c r="CQ4" s="44" t="s">
        <v>500</v>
      </c>
      <c r="CR4" s="45" t="s">
        <v>501</v>
      </c>
      <c r="CS4" s="44" t="s">
        <v>502</v>
      </c>
      <c r="CT4" s="45" t="s">
        <v>503</v>
      </c>
      <c r="CU4" s="44" t="s">
        <v>504</v>
      </c>
      <c r="CV4" s="44" t="s">
        <v>505</v>
      </c>
      <c r="CW4" s="3" t="s">
        <v>506</v>
      </c>
      <c r="CX4" s="48" t="s">
        <v>507</v>
      </c>
      <c r="CY4" s="3" t="s">
        <v>508</v>
      </c>
      <c r="CZ4" s="3" t="s">
        <v>509</v>
      </c>
      <c r="DA4" s="45" t="s">
        <v>510</v>
      </c>
      <c r="DB4" s="44" t="s">
        <v>511</v>
      </c>
      <c r="DC4" s="45" t="s">
        <v>512</v>
      </c>
      <c r="DD4" s="44" t="s">
        <v>513</v>
      </c>
      <c r="DE4" s="45" t="s">
        <v>514</v>
      </c>
      <c r="DF4" s="3" t="s">
        <v>515</v>
      </c>
      <c r="DG4" s="3" t="s">
        <v>516</v>
      </c>
      <c r="DH4" s="3" t="s">
        <v>517</v>
      </c>
      <c r="DI4" s="3" t="s">
        <v>518</v>
      </c>
      <c r="DJ4" s="3" t="s">
        <v>519</v>
      </c>
      <c r="DK4" s="44" t="s">
        <v>520</v>
      </c>
      <c r="DL4" s="44" t="s">
        <v>521</v>
      </c>
      <c r="DM4" s="49" t="s">
        <v>522</v>
      </c>
      <c r="DN4" s="44" t="s">
        <v>523</v>
      </c>
      <c r="DO4" s="49" t="s">
        <v>524</v>
      </c>
      <c r="DP4" s="44" t="s">
        <v>525</v>
      </c>
      <c r="DQ4" s="49" t="s">
        <v>526</v>
      </c>
      <c r="DR4" s="44" t="s">
        <v>527</v>
      </c>
      <c r="DS4" s="3" t="s">
        <v>528</v>
      </c>
      <c r="DT4" s="3" t="s">
        <v>529</v>
      </c>
      <c r="DU4" s="44" t="s">
        <v>530</v>
      </c>
      <c r="DV4" s="45" t="s">
        <v>531</v>
      </c>
      <c r="DW4" s="3" t="s">
        <v>532</v>
      </c>
      <c r="DX4" s="50" t="s">
        <v>533</v>
      </c>
      <c r="DY4" s="42" t="s">
        <v>404</v>
      </c>
      <c r="DZ4" s="51" t="s">
        <v>405</v>
      </c>
      <c r="EA4" s="240" t="s">
        <v>534</v>
      </c>
    </row>
    <row r="5" spans="1:131" x14ac:dyDescent="0.4">
      <c r="A5" s="4" t="s">
        <v>18</v>
      </c>
      <c r="B5" s="5" t="s">
        <v>19</v>
      </c>
      <c r="C5" s="6">
        <v>29.088941999999999</v>
      </c>
      <c r="D5" s="6">
        <v>2.2138260000000001</v>
      </c>
      <c r="E5" s="7" t="s">
        <v>20</v>
      </c>
      <c r="F5" s="5" t="s">
        <v>21</v>
      </c>
      <c r="G5" s="7" t="s">
        <v>22</v>
      </c>
      <c r="H5" s="4" t="s">
        <v>23</v>
      </c>
      <c r="I5" s="52">
        <v>1</v>
      </c>
      <c r="J5" s="53">
        <v>5</v>
      </c>
      <c r="K5" s="36">
        <v>2250</v>
      </c>
      <c r="L5" s="38">
        <v>2470</v>
      </c>
      <c r="M5" s="54">
        <v>0.15</v>
      </c>
      <c r="N5" s="55">
        <v>0.2</v>
      </c>
      <c r="O5" s="56">
        <f>AVERAGE(M5,N5)</f>
        <v>0.17499999999999999</v>
      </c>
      <c r="P5" s="57">
        <f>8.1*0.000000000000001</f>
        <v>8.0999999999999999E-15</v>
      </c>
      <c r="Q5" s="57">
        <f>2.4*0.00000000000001</f>
        <v>2.3999999999999999E-14</v>
      </c>
      <c r="R5" s="58">
        <f t="shared" ref="R5:R20" si="0">AVERAGE(P5,Q5)</f>
        <v>1.6049999999999999E-14</v>
      </c>
      <c r="S5" s="54">
        <v>5</v>
      </c>
      <c r="T5" s="55">
        <v>20</v>
      </c>
      <c r="U5" s="56">
        <f>AVERAGE(S5,T5)</f>
        <v>12.5</v>
      </c>
      <c r="V5" s="55">
        <v>0.2</v>
      </c>
      <c r="W5" s="55">
        <v>0.2</v>
      </c>
      <c r="X5" s="56">
        <f>AVERAGE(V5,W5)</f>
        <v>0.2</v>
      </c>
      <c r="Y5" s="54">
        <f>S5/(3*(1-2*V5))</f>
        <v>2.7777777777777781</v>
      </c>
      <c r="Z5" s="56">
        <f>T5/(3*(1-2*W5))</f>
        <v>11.111111111111112</v>
      </c>
      <c r="AA5" s="54">
        <f>S5/(2*(1+V5))</f>
        <v>2.0833333333333335</v>
      </c>
      <c r="AB5" s="56">
        <f>T5/(2*(1+W5))</f>
        <v>8.3333333333333339</v>
      </c>
      <c r="AC5" s="55"/>
      <c r="AD5" s="56"/>
      <c r="AE5" s="54"/>
      <c r="AF5" s="56">
        <v>26.6</v>
      </c>
      <c r="AG5" s="55"/>
      <c r="AH5" s="56"/>
      <c r="AI5" s="54"/>
      <c r="AJ5" s="56"/>
      <c r="AK5" s="55"/>
      <c r="AL5" s="56"/>
      <c r="AM5" s="54"/>
      <c r="AN5" s="56">
        <v>2</v>
      </c>
      <c r="AO5" s="59"/>
      <c r="AP5" s="60">
        <f>0.00001</f>
        <v>1.0000000000000001E-5</v>
      </c>
      <c r="AQ5" s="61"/>
      <c r="AR5" s="62"/>
      <c r="AS5" s="38" t="s">
        <v>535</v>
      </c>
      <c r="AT5" s="63">
        <v>2.47E-2</v>
      </c>
      <c r="AU5" s="64">
        <v>0</v>
      </c>
      <c r="AV5" s="64">
        <f>AT5*CU5+AU5</f>
        <v>44.46</v>
      </c>
      <c r="AW5" s="53">
        <f>AT5*CV5+AU5</f>
        <v>44.954000000000001</v>
      </c>
      <c r="AX5" s="65">
        <f>1.12*AT5</f>
        <v>2.7664000000000001E-2</v>
      </c>
      <c r="AY5" s="64">
        <v>0</v>
      </c>
      <c r="AZ5" s="64">
        <f>AX5*CU5+AY5</f>
        <v>49.795200000000001</v>
      </c>
      <c r="BA5" s="53">
        <f>AX5*CV5</f>
        <v>50.348480000000002</v>
      </c>
      <c r="BB5" s="63">
        <f>0.69*AT5</f>
        <v>1.7042999999999999E-2</v>
      </c>
      <c r="BC5" s="64">
        <v>0</v>
      </c>
      <c r="BD5" s="64">
        <f>BB5*CU5+BC5</f>
        <v>30.677399999999999</v>
      </c>
      <c r="BE5" s="53">
        <f>BB5*CV5</f>
        <v>31.018259999999998</v>
      </c>
      <c r="BF5" s="36"/>
      <c r="BG5" s="38" t="s">
        <v>536</v>
      </c>
      <c r="BH5" s="63">
        <v>9.8899999999999995E-3</v>
      </c>
      <c r="BI5" s="64">
        <v>0</v>
      </c>
      <c r="BJ5" s="64">
        <f>BH5*CU5</f>
        <v>17.802</v>
      </c>
      <c r="BK5" s="53">
        <f>BH5*CV5</f>
        <v>17.9998</v>
      </c>
      <c r="BL5" s="66"/>
      <c r="BM5" s="62">
        <v>90</v>
      </c>
      <c r="BN5" s="37"/>
      <c r="BO5" s="38" t="s">
        <v>536</v>
      </c>
      <c r="BP5" s="36"/>
      <c r="BQ5" s="38">
        <v>90</v>
      </c>
      <c r="BR5" s="37"/>
      <c r="BS5" s="38"/>
      <c r="BT5" s="35" t="s">
        <v>537</v>
      </c>
      <c r="BU5" s="38" t="s">
        <v>538</v>
      </c>
      <c r="BV5" s="66"/>
      <c r="BW5" s="62">
        <v>80</v>
      </c>
      <c r="BX5" s="66"/>
      <c r="BY5" s="62">
        <v>0</v>
      </c>
      <c r="BZ5" s="67">
        <v>0</v>
      </c>
      <c r="CA5" s="61">
        <v>1800</v>
      </c>
      <c r="CB5" s="62">
        <v>1820</v>
      </c>
      <c r="CC5" s="37"/>
      <c r="CD5" s="38"/>
      <c r="CE5" s="64"/>
      <c r="CF5" s="53">
        <v>0.2</v>
      </c>
      <c r="CG5" s="37"/>
      <c r="CH5" s="60">
        <f>9.5*0.00000000000001</f>
        <v>9.4999999999999999E-14</v>
      </c>
      <c r="CI5" s="36"/>
      <c r="CJ5" s="38"/>
      <c r="CK5" s="37"/>
      <c r="CL5" s="38"/>
      <c r="CM5" s="36"/>
      <c r="CN5" s="38"/>
      <c r="CO5" s="37"/>
      <c r="CP5" s="38">
        <v>1</v>
      </c>
      <c r="CQ5" s="37"/>
      <c r="CR5" s="38">
        <v>0.3</v>
      </c>
      <c r="CS5" s="37"/>
      <c r="CT5" s="38">
        <v>28</v>
      </c>
      <c r="CU5" s="66">
        <v>1800</v>
      </c>
      <c r="CV5" s="61">
        <v>1820</v>
      </c>
      <c r="CW5" s="35" t="s">
        <v>539</v>
      </c>
      <c r="CX5" s="68">
        <v>37987</v>
      </c>
      <c r="CY5" s="37" t="s">
        <v>540</v>
      </c>
      <c r="CZ5" s="35">
        <v>50</v>
      </c>
      <c r="DA5" s="60">
        <v>1.3100000000000001E-2</v>
      </c>
      <c r="DB5" s="69"/>
      <c r="DC5" s="60">
        <f>3.85*1000000000/650</f>
        <v>5923076.923076923</v>
      </c>
      <c r="DD5" s="69"/>
      <c r="DE5" s="60">
        <f>DC5</f>
        <v>5923076.923076923</v>
      </c>
      <c r="DF5" s="70">
        <v>18</v>
      </c>
      <c r="DG5" s="70">
        <v>30</v>
      </c>
      <c r="DH5" s="71">
        <v>40026</v>
      </c>
      <c r="DI5" s="64"/>
      <c r="DJ5" s="35">
        <v>9506</v>
      </c>
      <c r="DK5" s="61">
        <v>2200</v>
      </c>
      <c r="DL5" s="61">
        <v>2700</v>
      </c>
      <c r="DM5" s="72"/>
      <c r="DN5" s="64"/>
      <c r="DO5" s="72"/>
      <c r="DP5" s="64">
        <v>2.17</v>
      </c>
      <c r="DQ5" s="72"/>
      <c r="DR5" s="64"/>
      <c r="DS5" s="70">
        <v>1.7</v>
      </c>
      <c r="DT5" s="36" t="s">
        <v>541</v>
      </c>
      <c r="DU5" s="66"/>
      <c r="DV5" s="62"/>
      <c r="DW5" s="62"/>
      <c r="DX5" s="73"/>
      <c r="DY5" s="4" t="s">
        <v>542</v>
      </c>
      <c r="DZ5" s="74" t="s">
        <v>543</v>
      </c>
      <c r="EA5" s="241" t="s">
        <v>544</v>
      </c>
    </row>
    <row r="6" spans="1:131" x14ac:dyDescent="0.4">
      <c r="A6" s="4" t="s">
        <v>24</v>
      </c>
      <c r="B6" s="5" t="s">
        <v>25</v>
      </c>
      <c r="C6" s="8">
        <v>31.587885</v>
      </c>
      <c r="D6" s="8">
        <v>34.604187000000003</v>
      </c>
      <c r="E6" s="7" t="s">
        <v>20</v>
      </c>
      <c r="F6" s="5" t="s">
        <v>21</v>
      </c>
      <c r="G6" s="7" t="s">
        <v>26</v>
      </c>
      <c r="H6" s="4" t="s">
        <v>27</v>
      </c>
      <c r="I6" s="52"/>
      <c r="J6" s="53"/>
      <c r="K6" s="36"/>
      <c r="L6" s="38"/>
      <c r="M6" s="54">
        <v>0.13300000000000001</v>
      </c>
      <c r="N6" s="55">
        <v>0.16300000000000001</v>
      </c>
      <c r="O6" s="56">
        <f>AVERAGE(M6,N6)</f>
        <v>0.14800000000000002</v>
      </c>
      <c r="P6" s="59">
        <f>4.5*0.000000000000001</f>
        <v>4.5000000000000005E-15</v>
      </c>
      <c r="Q6" s="59">
        <f>20.3*0.000000000000001</f>
        <v>2.0300000000000002E-14</v>
      </c>
      <c r="R6" s="58">
        <f t="shared" si="0"/>
        <v>1.2400000000000001E-14</v>
      </c>
      <c r="S6" s="54"/>
      <c r="T6" s="55">
        <v>5</v>
      </c>
      <c r="U6" s="56">
        <f>AVERAGE(S6,T6)</f>
        <v>5</v>
      </c>
      <c r="V6" s="55"/>
      <c r="W6" s="55"/>
      <c r="X6" s="56"/>
      <c r="Y6" s="54"/>
      <c r="Z6" s="56"/>
      <c r="AA6" s="54"/>
      <c r="AB6" s="56"/>
      <c r="AC6" s="54"/>
      <c r="AD6" s="56"/>
      <c r="AE6" s="54"/>
      <c r="AF6" s="56"/>
      <c r="AG6" s="55"/>
      <c r="AH6" s="56"/>
      <c r="AI6" s="54"/>
      <c r="AJ6" s="56"/>
      <c r="AK6" s="55"/>
      <c r="AL6" s="56"/>
      <c r="AM6" s="54"/>
      <c r="AN6" s="56"/>
      <c r="AO6" s="59"/>
      <c r="AP6" s="60"/>
      <c r="AQ6" s="61"/>
      <c r="AR6" s="62"/>
      <c r="AS6" s="38" t="s">
        <v>545</v>
      </c>
      <c r="AT6" s="63"/>
      <c r="AU6" s="64"/>
      <c r="AV6" s="64"/>
      <c r="AW6" s="53"/>
      <c r="AX6" s="65"/>
      <c r="AY6" s="64"/>
      <c r="AZ6" s="64"/>
      <c r="BA6" s="53"/>
      <c r="BB6" s="63"/>
      <c r="BC6" s="64"/>
      <c r="BD6" s="64"/>
      <c r="BE6" s="53"/>
      <c r="BF6" s="36"/>
      <c r="BG6" s="38"/>
      <c r="BH6" s="63"/>
      <c r="BI6" s="64"/>
      <c r="BJ6" s="64"/>
      <c r="BK6" s="53"/>
      <c r="BL6" s="66"/>
      <c r="BM6" s="62">
        <v>64.5</v>
      </c>
      <c r="BN6" s="37" t="s">
        <v>546</v>
      </c>
      <c r="BO6" s="38" t="s">
        <v>547</v>
      </c>
      <c r="BP6" s="36"/>
      <c r="BQ6" s="38">
        <v>90</v>
      </c>
      <c r="BR6" s="37"/>
      <c r="BS6" s="38"/>
      <c r="BT6" s="35"/>
      <c r="BU6" s="38" t="s">
        <v>538</v>
      </c>
      <c r="BV6" s="66"/>
      <c r="BW6" s="62"/>
      <c r="BX6" s="66"/>
      <c r="BY6" s="62"/>
      <c r="BZ6" s="67">
        <v>400</v>
      </c>
      <c r="CA6" s="61">
        <v>1650</v>
      </c>
      <c r="CB6" s="62">
        <v>1675</v>
      </c>
      <c r="CC6" s="37"/>
      <c r="CD6" s="38"/>
      <c r="CE6" s="64"/>
      <c r="CF6" s="53"/>
      <c r="CG6" s="37"/>
      <c r="CH6" s="38"/>
      <c r="CI6" s="36"/>
      <c r="CJ6" s="38"/>
      <c r="CK6" s="37"/>
      <c r="CL6" s="38"/>
      <c r="CM6" s="36"/>
      <c r="CN6" s="38"/>
      <c r="CO6" s="37"/>
      <c r="CP6" s="38"/>
      <c r="CQ6" s="37"/>
      <c r="CR6" s="38"/>
      <c r="CS6" s="37"/>
      <c r="CT6" s="38"/>
      <c r="CU6" s="66">
        <v>1620</v>
      </c>
      <c r="CV6" s="61">
        <v>1640</v>
      </c>
      <c r="CW6" s="35" t="s">
        <v>548</v>
      </c>
      <c r="CX6" s="68">
        <v>42614</v>
      </c>
      <c r="CY6" s="37" t="s">
        <v>549</v>
      </c>
      <c r="CZ6" s="35"/>
      <c r="DA6" s="60">
        <v>2E-3</v>
      </c>
      <c r="DB6" s="69"/>
      <c r="DC6" s="60">
        <f>100000/650+11</f>
        <v>164.84615384615384</v>
      </c>
      <c r="DD6" s="69"/>
      <c r="DE6" s="60">
        <v>-418</v>
      </c>
      <c r="DF6" s="70"/>
      <c r="DG6" s="70"/>
      <c r="DH6" s="71"/>
      <c r="DI6" s="64"/>
      <c r="DJ6" s="35" t="s">
        <v>550</v>
      </c>
      <c r="DK6" s="61"/>
      <c r="DL6" s="61"/>
      <c r="DM6" s="72"/>
      <c r="DN6" s="64"/>
      <c r="DO6" s="72"/>
      <c r="DP6" s="64"/>
      <c r="DQ6" s="72"/>
      <c r="DR6" s="64"/>
      <c r="DS6" s="70"/>
      <c r="DT6" s="36"/>
      <c r="DU6" s="66"/>
      <c r="DV6" s="62"/>
      <c r="DW6" s="62"/>
      <c r="DX6" s="73"/>
      <c r="DY6" s="4"/>
      <c r="DZ6" s="74"/>
      <c r="EA6" s="241" t="s">
        <v>551</v>
      </c>
    </row>
    <row r="7" spans="1:131" x14ac:dyDescent="0.4">
      <c r="A7" s="4" t="s">
        <v>28</v>
      </c>
      <c r="B7" s="5" t="s">
        <v>29</v>
      </c>
      <c r="C7" s="8">
        <v>52.650573000000001</v>
      </c>
      <c r="D7" s="9">
        <v>4.716736</v>
      </c>
      <c r="E7" s="7" t="s">
        <v>20</v>
      </c>
      <c r="F7" s="5" t="s">
        <v>30</v>
      </c>
      <c r="G7" s="7" t="s">
        <v>31</v>
      </c>
      <c r="H7" s="4" t="s">
        <v>23</v>
      </c>
      <c r="I7" s="52"/>
      <c r="J7" s="53"/>
      <c r="K7" s="36">
        <v>2500</v>
      </c>
      <c r="L7" s="38"/>
      <c r="M7" s="54">
        <v>0.15</v>
      </c>
      <c r="N7" s="55">
        <v>0.3</v>
      </c>
      <c r="O7" s="56">
        <v>0.23</v>
      </c>
      <c r="P7" s="59">
        <v>2.9999999999999998E-13</v>
      </c>
      <c r="Q7" s="59">
        <v>5.9999999999999997E-13</v>
      </c>
      <c r="R7" s="58">
        <f t="shared" si="0"/>
        <v>4.5E-13</v>
      </c>
      <c r="S7" s="54">
        <v>10</v>
      </c>
      <c r="T7" s="55">
        <v>26</v>
      </c>
      <c r="U7" s="56">
        <v>18</v>
      </c>
      <c r="V7" s="55">
        <v>0.1</v>
      </c>
      <c r="W7" s="55">
        <v>0.25</v>
      </c>
      <c r="X7" s="56">
        <v>0.17499999999999999</v>
      </c>
      <c r="Y7" s="54">
        <f>S7/(3*(1-2*V7))</f>
        <v>4.1666666666666661</v>
      </c>
      <c r="Z7" s="56">
        <f>T7/(3*(1-2*W7))</f>
        <v>17.333333333333332</v>
      </c>
      <c r="AA7" s="54">
        <f>S7/(2*(1+V7))</f>
        <v>4.545454545454545</v>
      </c>
      <c r="AB7" s="56">
        <f>T7/(2*(1+W7))</f>
        <v>10.4</v>
      </c>
      <c r="AC7" s="54"/>
      <c r="AD7" s="56">
        <v>1</v>
      </c>
      <c r="AE7" s="54"/>
      <c r="AF7" s="56"/>
      <c r="AG7" s="55"/>
      <c r="AH7" s="56"/>
      <c r="AI7" s="54"/>
      <c r="AJ7" s="56"/>
      <c r="AK7" s="55"/>
      <c r="AL7" s="56"/>
      <c r="AM7" s="54"/>
      <c r="AN7" s="56"/>
      <c r="AO7" s="59"/>
      <c r="AP7" s="60"/>
      <c r="AQ7" s="61"/>
      <c r="AR7" s="62"/>
      <c r="AS7" s="38" t="s">
        <v>552</v>
      </c>
      <c r="AT7" s="63">
        <v>2.3E-2</v>
      </c>
      <c r="AU7" s="64">
        <v>0</v>
      </c>
      <c r="AV7" s="64">
        <f>AT7*CU7+AU7</f>
        <v>48.3</v>
      </c>
      <c r="AW7" s="53"/>
      <c r="AX7" s="65">
        <v>2.0400000000000001E-2</v>
      </c>
      <c r="AY7" s="64">
        <v>0</v>
      </c>
      <c r="AZ7" s="64">
        <f>AX7*CU7+AY7</f>
        <v>42.84</v>
      </c>
      <c r="BA7" s="53"/>
      <c r="BB7" s="63">
        <v>1.55E-2</v>
      </c>
      <c r="BC7" s="64">
        <v>0</v>
      </c>
      <c r="BD7" s="64">
        <f>BB7*CU7+BC7</f>
        <v>32.549999999999997</v>
      </c>
      <c r="BE7" s="53"/>
      <c r="BF7" s="36"/>
      <c r="BG7" s="38"/>
      <c r="BH7" s="63">
        <v>0.01</v>
      </c>
      <c r="BI7" s="64"/>
      <c r="BJ7" s="64">
        <f>BI7+CU7*BH7</f>
        <v>21</v>
      </c>
      <c r="BK7" s="53"/>
      <c r="BL7" s="66"/>
      <c r="BM7" s="62">
        <v>89</v>
      </c>
      <c r="BN7" s="37"/>
      <c r="BO7" s="38"/>
      <c r="BP7" s="36"/>
      <c r="BQ7" s="38"/>
      <c r="BR7" s="37"/>
      <c r="BS7" s="38"/>
      <c r="BT7" s="35"/>
      <c r="BU7" s="38"/>
      <c r="BV7" s="66"/>
      <c r="BW7" s="62"/>
      <c r="BX7" s="66"/>
      <c r="BY7" s="62"/>
      <c r="BZ7" s="67"/>
      <c r="CA7" s="61"/>
      <c r="CB7" s="62"/>
      <c r="CC7" s="37"/>
      <c r="CD7" s="38"/>
      <c r="CE7" s="64"/>
      <c r="CF7" s="53"/>
      <c r="CG7" s="37"/>
      <c r="CH7" s="38"/>
      <c r="CI7" s="36"/>
      <c r="CJ7" s="38"/>
      <c r="CK7" s="37"/>
      <c r="CL7" s="38"/>
      <c r="CM7" s="36"/>
      <c r="CN7" s="38"/>
      <c r="CO7" s="37"/>
      <c r="CP7" s="38"/>
      <c r="CQ7" s="37"/>
      <c r="CR7" s="38"/>
      <c r="CS7" s="37"/>
      <c r="CT7" s="38"/>
      <c r="CU7" s="66">
        <v>2100</v>
      </c>
      <c r="CV7" s="61"/>
      <c r="CW7" s="35" t="s">
        <v>553</v>
      </c>
      <c r="CX7" s="68">
        <v>40179</v>
      </c>
      <c r="CY7" s="37" t="s">
        <v>554</v>
      </c>
      <c r="CZ7" s="35">
        <v>60</v>
      </c>
      <c r="DA7" s="60">
        <v>463</v>
      </c>
      <c r="DB7" s="69"/>
      <c r="DC7" s="60">
        <v>4300000000</v>
      </c>
      <c r="DD7" s="69"/>
      <c r="DE7" s="60"/>
      <c r="DF7" s="75"/>
      <c r="DG7" s="70">
        <v>7.7</v>
      </c>
      <c r="DH7" s="71"/>
      <c r="DI7" s="64"/>
      <c r="DJ7" s="35">
        <v>366</v>
      </c>
      <c r="DK7" s="61"/>
      <c r="DL7" s="61"/>
      <c r="DM7" s="72"/>
      <c r="DN7" s="64"/>
      <c r="DO7" s="72"/>
      <c r="DP7" s="64">
        <v>0.98</v>
      </c>
      <c r="DQ7" s="72"/>
      <c r="DR7" s="64"/>
      <c r="DS7" s="70">
        <v>0.9</v>
      </c>
      <c r="DT7" s="36" t="s">
        <v>541</v>
      </c>
      <c r="DU7" s="66"/>
      <c r="DV7" s="62">
        <v>2100</v>
      </c>
      <c r="DW7" s="62"/>
      <c r="DX7" s="73">
        <v>41548</v>
      </c>
      <c r="DY7" s="4" t="s">
        <v>555</v>
      </c>
      <c r="DZ7" s="76" t="s">
        <v>556</v>
      </c>
      <c r="EA7" s="241" t="s">
        <v>557</v>
      </c>
    </row>
    <row r="8" spans="1:131" x14ac:dyDescent="0.4">
      <c r="A8" s="4" t="s">
        <v>32</v>
      </c>
      <c r="B8" s="5" t="s">
        <v>33</v>
      </c>
      <c r="C8" s="8">
        <v>40.380270000000003</v>
      </c>
      <c r="D8" s="8">
        <v>0.70090200000000003</v>
      </c>
      <c r="E8" s="7" t="s">
        <v>20</v>
      </c>
      <c r="F8" s="5" t="s">
        <v>30</v>
      </c>
      <c r="G8" s="7" t="s">
        <v>34</v>
      </c>
      <c r="H8" s="4" t="s">
        <v>35</v>
      </c>
      <c r="I8" s="52"/>
      <c r="J8" s="53"/>
      <c r="K8" s="36"/>
      <c r="L8" s="38"/>
      <c r="M8" s="54">
        <v>0.02</v>
      </c>
      <c r="N8" s="55">
        <v>0.25</v>
      </c>
      <c r="O8" s="56">
        <f t="shared" ref="O8:O16" si="1">AVERAGE(M8,N8)</f>
        <v>0.13500000000000001</v>
      </c>
      <c r="P8" s="57">
        <f>9*0.0000000000001</f>
        <v>9E-13</v>
      </c>
      <c r="Q8" s="57">
        <f>1*0.00000000001</f>
        <v>9.9999999999999994E-12</v>
      </c>
      <c r="R8" s="58">
        <f t="shared" si="0"/>
        <v>5.4499999999999996E-12</v>
      </c>
      <c r="S8" s="54">
        <v>20</v>
      </c>
      <c r="T8" s="55">
        <v>48</v>
      </c>
      <c r="U8" s="56">
        <f t="shared" ref="U8:U18" si="2">AVERAGE(S8,T8)</f>
        <v>34</v>
      </c>
      <c r="V8" s="55">
        <v>0.26</v>
      </c>
      <c r="W8" s="55">
        <v>0.26</v>
      </c>
      <c r="X8" s="56">
        <f>AVERAGE(V8,W8)</f>
        <v>0.26</v>
      </c>
      <c r="Y8" s="54">
        <f>S8/(3*(1-2*V8))</f>
        <v>13.888888888888889</v>
      </c>
      <c r="Z8" s="56">
        <f>T8/(3*(1-2*W8))</f>
        <v>33.333333333333336</v>
      </c>
      <c r="AA8" s="54">
        <f>S8/(2*(1+V8))</f>
        <v>7.9365079365079367</v>
      </c>
      <c r="AB8" s="56">
        <f>T8/(2*(1+W8))</f>
        <v>19.047619047619047</v>
      </c>
      <c r="AC8" s="54"/>
      <c r="AD8" s="56"/>
      <c r="AE8" s="54"/>
      <c r="AF8" s="56"/>
      <c r="AG8" s="55"/>
      <c r="AH8" s="56"/>
      <c r="AI8" s="54"/>
      <c r="AJ8" s="56"/>
      <c r="AK8" s="55"/>
      <c r="AL8" s="56"/>
      <c r="AM8" s="54"/>
      <c r="AN8" s="56"/>
      <c r="AO8" s="59"/>
      <c r="AP8" s="60"/>
      <c r="AQ8" s="61"/>
      <c r="AR8" s="62">
        <v>5000</v>
      </c>
      <c r="AS8" s="38" t="s">
        <v>545</v>
      </c>
      <c r="AT8" s="63">
        <v>2.2499999999999999E-2</v>
      </c>
      <c r="AU8" s="64">
        <v>0.6</v>
      </c>
      <c r="AV8" s="64">
        <f>AT8*CU8+AU8</f>
        <v>38.85</v>
      </c>
      <c r="AW8" s="53">
        <f>AT8*CV8+AU8</f>
        <v>40.65</v>
      </c>
      <c r="AX8" s="65">
        <v>2.2499999999999999E-2</v>
      </c>
      <c r="AY8" s="64">
        <v>0.6</v>
      </c>
      <c r="AZ8" s="64">
        <f>AX8*CU8+AY8</f>
        <v>38.85</v>
      </c>
      <c r="BA8" s="53">
        <f>AX8*CV8+AY8</f>
        <v>40.65</v>
      </c>
      <c r="BB8" s="63">
        <f>AX8*0.62</f>
        <v>1.3949999999999999E-2</v>
      </c>
      <c r="BC8" s="64">
        <v>0.6</v>
      </c>
      <c r="BD8" s="64">
        <f>BB8*CU8+BC8</f>
        <v>24.314999999999998</v>
      </c>
      <c r="BE8" s="53">
        <f>BB8*CV8+BC8</f>
        <v>25.431000000000001</v>
      </c>
      <c r="BF8" s="36"/>
      <c r="BG8" s="38" t="s">
        <v>558</v>
      </c>
      <c r="BH8" s="63">
        <v>1.025E-2</v>
      </c>
      <c r="BI8" s="64">
        <v>0.6</v>
      </c>
      <c r="BJ8" s="64">
        <f>BI8+CU8*BH8</f>
        <v>18.025000000000002</v>
      </c>
      <c r="BK8" s="53">
        <f>BI8+CV8*BH8</f>
        <v>18.845000000000002</v>
      </c>
      <c r="BL8" s="66"/>
      <c r="BM8" s="62">
        <v>80</v>
      </c>
      <c r="BN8" s="37"/>
      <c r="BO8" s="38">
        <v>190</v>
      </c>
      <c r="BP8" s="36"/>
      <c r="BQ8" s="38">
        <v>60</v>
      </c>
      <c r="BR8" s="37"/>
      <c r="BS8" s="38">
        <f>BO8+90</f>
        <v>280</v>
      </c>
      <c r="BT8" s="35" t="s">
        <v>559</v>
      </c>
      <c r="BU8" s="38" t="s">
        <v>552</v>
      </c>
      <c r="BV8" s="66"/>
      <c r="BW8" s="62"/>
      <c r="BX8" s="66"/>
      <c r="BY8" s="62"/>
      <c r="BZ8" s="67">
        <v>100</v>
      </c>
      <c r="CA8" s="61"/>
      <c r="CB8" s="62"/>
      <c r="CC8" s="37"/>
      <c r="CD8" s="38"/>
      <c r="CE8" s="64"/>
      <c r="CF8" s="53"/>
      <c r="CG8" s="37"/>
      <c r="CH8" s="58">
        <f>0.00000000000000001</f>
        <v>1.0000000000000001E-17</v>
      </c>
      <c r="CI8" s="36"/>
      <c r="CJ8" s="38"/>
      <c r="CK8" s="37"/>
      <c r="CL8" s="38"/>
      <c r="CM8" s="36"/>
      <c r="CN8" s="38"/>
      <c r="CO8" s="37"/>
      <c r="CP8" s="38"/>
      <c r="CQ8" s="37"/>
      <c r="CR8" s="38"/>
      <c r="CS8" s="37"/>
      <c r="CT8" s="38">
        <v>30</v>
      </c>
      <c r="CU8" s="66">
        <v>1700</v>
      </c>
      <c r="CV8" s="61">
        <v>1780</v>
      </c>
      <c r="CW8" s="35" t="s">
        <v>553</v>
      </c>
      <c r="CX8" s="68">
        <v>41519</v>
      </c>
      <c r="CY8" s="37" t="s">
        <v>554</v>
      </c>
      <c r="CZ8" s="35"/>
      <c r="DA8" s="60">
        <v>1.5</v>
      </c>
      <c r="DB8" s="69"/>
      <c r="DC8" s="60">
        <f>6.4*100000</f>
        <v>640000</v>
      </c>
      <c r="DD8" s="69"/>
      <c r="DE8" s="60">
        <f>DC8</f>
        <v>640000</v>
      </c>
      <c r="DF8" s="70">
        <v>0.6</v>
      </c>
      <c r="DG8" s="70"/>
      <c r="DH8" s="71">
        <v>41522</v>
      </c>
      <c r="DI8" s="64">
        <v>3</v>
      </c>
      <c r="DJ8" s="35" t="s">
        <v>560</v>
      </c>
      <c r="DK8" s="61">
        <v>1700</v>
      </c>
      <c r="DL8" s="61">
        <v>9000</v>
      </c>
      <c r="DM8" s="72"/>
      <c r="DN8" s="64"/>
      <c r="DO8" s="72">
        <v>6.2</v>
      </c>
      <c r="DP8" s="64">
        <v>1.9</v>
      </c>
      <c r="DQ8" s="72">
        <v>4.8</v>
      </c>
      <c r="DR8" s="64">
        <v>1.1000000000000001</v>
      </c>
      <c r="DS8" s="70">
        <v>4.2</v>
      </c>
      <c r="DT8" s="36" t="s">
        <v>541</v>
      </c>
      <c r="DU8" s="66"/>
      <c r="DV8" s="62">
        <v>7000</v>
      </c>
      <c r="DW8" s="62">
        <v>5000</v>
      </c>
      <c r="DX8" s="73">
        <v>41548</v>
      </c>
      <c r="DY8" s="4" t="s">
        <v>561</v>
      </c>
      <c r="DZ8" s="74" t="s">
        <v>562</v>
      </c>
      <c r="EA8" s="241" t="s">
        <v>563</v>
      </c>
    </row>
    <row r="9" spans="1:131" x14ac:dyDescent="0.4">
      <c r="A9" s="4" t="s">
        <v>32</v>
      </c>
      <c r="B9" s="5" t="s">
        <v>36</v>
      </c>
      <c r="C9" s="8">
        <v>42.580514999999998</v>
      </c>
      <c r="D9" s="8">
        <v>-3.6521819999999998</v>
      </c>
      <c r="E9" s="7" t="s">
        <v>20</v>
      </c>
      <c r="F9" s="5" t="s">
        <v>37</v>
      </c>
      <c r="G9" s="7" t="s">
        <v>38</v>
      </c>
      <c r="H9" s="4" t="s">
        <v>39</v>
      </c>
      <c r="I9" s="52"/>
      <c r="J9" s="53"/>
      <c r="K9" s="36"/>
      <c r="L9" s="38"/>
      <c r="M9" s="54">
        <v>2E-3</v>
      </c>
      <c r="N9" s="55">
        <v>0.16</v>
      </c>
      <c r="O9" s="56">
        <f t="shared" si="1"/>
        <v>8.1000000000000003E-2</v>
      </c>
      <c r="P9" s="59">
        <f>0.5*0.000000000000001</f>
        <v>5.0000000000000004E-16</v>
      </c>
      <c r="Q9" s="59">
        <f>15*0.000000000000001</f>
        <v>1.5000000000000002E-14</v>
      </c>
      <c r="R9" s="58">
        <f t="shared" si="0"/>
        <v>7.7500000000000017E-15</v>
      </c>
      <c r="S9" s="54">
        <v>30</v>
      </c>
      <c r="T9" s="55">
        <v>60</v>
      </c>
      <c r="U9" s="56">
        <f t="shared" si="2"/>
        <v>45</v>
      </c>
      <c r="V9" s="55"/>
      <c r="W9" s="55"/>
      <c r="X9" s="56"/>
      <c r="Y9" s="54"/>
      <c r="Z9" s="56"/>
      <c r="AA9" s="54"/>
      <c r="AB9" s="56"/>
      <c r="AC9" s="54"/>
      <c r="AD9" s="56"/>
      <c r="AE9" s="54"/>
      <c r="AF9" s="56"/>
      <c r="AG9" s="55"/>
      <c r="AH9" s="56"/>
      <c r="AI9" s="54"/>
      <c r="AJ9" s="56"/>
      <c r="AK9" s="55"/>
      <c r="AL9" s="56"/>
      <c r="AM9" s="54"/>
      <c r="AN9" s="56"/>
      <c r="AO9" s="59"/>
      <c r="AP9" s="60"/>
      <c r="AQ9" s="61"/>
      <c r="AR9" s="62"/>
      <c r="AS9" s="38" t="s">
        <v>545</v>
      </c>
      <c r="AT9" s="63">
        <v>2.4E-2</v>
      </c>
      <c r="AU9" s="64">
        <v>0</v>
      </c>
      <c r="AV9" s="64">
        <f>AT9*CU9+AU9</f>
        <v>33.936</v>
      </c>
      <c r="AW9" s="53">
        <f>AT9*CV9+AU9</f>
        <v>37.92</v>
      </c>
      <c r="AX9" s="65">
        <v>2.4E-2</v>
      </c>
      <c r="AY9" s="64">
        <v>0</v>
      </c>
      <c r="AZ9" s="64">
        <f>AX9*CU9+AY9</f>
        <v>33.936</v>
      </c>
      <c r="BA9" s="53">
        <f>AX9*CV9</f>
        <v>37.92</v>
      </c>
      <c r="BB9" s="63">
        <f>0.021/1.45</f>
        <v>1.4482758620689656E-2</v>
      </c>
      <c r="BC9" s="64">
        <v>0</v>
      </c>
      <c r="BD9" s="64">
        <f>BB9*CU9+BC9</f>
        <v>20.478620689655173</v>
      </c>
      <c r="BE9" s="53">
        <f>BB9*CV9</f>
        <v>22.882758620689657</v>
      </c>
      <c r="BF9" s="36"/>
      <c r="BG9" s="38" t="s">
        <v>564</v>
      </c>
      <c r="BH9" s="63">
        <v>0.01</v>
      </c>
      <c r="BI9" s="64">
        <v>0</v>
      </c>
      <c r="BJ9" s="64">
        <f>BH9*CU9</f>
        <v>14.14</v>
      </c>
      <c r="BK9" s="53">
        <f>BH9*CV9</f>
        <v>15.8</v>
      </c>
      <c r="BL9" s="66">
        <v>43.3</v>
      </c>
      <c r="BM9" s="62">
        <v>46.5</v>
      </c>
      <c r="BN9" s="37"/>
      <c r="BO9" s="38"/>
      <c r="BP9" s="36"/>
      <c r="BQ9" s="38"/>
      <c r="BR9" s="37"/>
      <c r="BS9" s="38"/>
      <c r="BT9" s="35"/>
      <c r="BU9" s="38"/>
      <c r="BV9" s="66"/>
      <c r="BW9" s="62"/>
      <c r="BX9" s="66"/>
      <c r="BY9" s="62"/>
      <c r="BZ9" s="67"/>
      <c r="CA9" s="61"/>
      <c r="CB9" s="62"/>
      <c r="CC9" s="37"/>
      <c r="CD9" s="38"/>
      <c r="CE9" s="64"/>
      <c r="CF9" s="53"/>
      <c r="CG9" s="37"/>
      <c r="CH9" s="38"/>
      <c r="CI9" s="36"/>
      <c r="CJ9" s="38"/>
      <c r="CK9" s="37"/>
      <c r="CL9" s="38"/>
      <c r="CM9" s="36"/>
      <c r="CN9" s="38"/>
      <c r="CO9" s="37"/>
      <c r="CP9" s="38"/>
      <c r="CQ9" s="37"/>
      <c r="CR9" s="38"/>
      <c r="CS9" s="37"/>
      <c r="CT9" s="38"/>
      <c r="CU9" s="66">
        <v>1414</v>
      </c>
      <c r="CV9" s="61">
        <v>1580</v>
      </c>
      <c r="CW9" s="35" t="s">
        <v>565</v>
      </c>
      <c r="CX9" s="68">
        <v>42095</v>
      </c>
      <c r="CY9" s="37" t="s">
        <v>549</v>
      </c>
      <c r="CZ9" s="35">
        <v>33</v>
      </c>
      <c r="DA9" s="60">
        <v>2E-3</v>
      </c>
      <c r="DB9" s="69"/>
      <c r="DC9" s="60">
        <v>14000</v>
      </c>
      <c r="DD9" s="69"/>
      <c r="DE9" s="60">
        <v>14000</v>
      </c>
      <c r="DF9" s="70">
        <v>8</v>
      </c>
      <c r="DG9" s="70">
        <v>22</v>
      </c>
      <c r="DH9" s="71"/>
      <c r="DI9" s="64"/>
      <c r="DJ9" s="35" t="s">
        <v>566</v>
      </c>
      <c r="DK9" s="61"/>
      <c r="DL9" s="61"/>
      <c r="DM9" s="72"/>
      <c r="DN9" s="64"/>
      <c r="DO9" s="72"/>
      <c r="DP9" s="64"/>
      <c r="DQ9" s="72"/>
      <c r="DR9" s="64"/>
      <c r="DS9" s="70">
        <v>0</v>
      </c>
      <c r="DT9" s="36"/>
      <c r="DU9" s="66"/>
      <c r="DV9" s="62"/>
      <c r="DW9" s="62"/>
      <c r="DX9" s="73"/>
      <c r="DY9" s="4"/>
      <c r="DZ9" s="74"/>
      <c r="EA9" s="241" t="s">
        <v>567</v>
      </c>
    </row>
    <row r="10" spans="1:131" x14ac:dyDescent="0.4">
      <c r="A10" s="4" t="s">
        <v>40</v>
      </c>
      <c r="B10" s="5" t="s">
        <v>41</v>
      </c>
      <c r="C10" s="6">
        <v>39.876933000000001</v>
      </c>
      <c r="D10" s="6">
        <v>-88.893360000000001</v>
      </c>
      <c r="E10" s="7" t="s">
        <v>20</v>
      </c>
      <c r="F10" s="5" t="s">
        <v>21</v>
      </c>
      <c r="G10" s="7" t="s">
        <v>42</v>
      </c>
      <c r="H10" s="4" t="s">
        <v>23</v>
      </c>
      <c r="I10" s="52"/>
      <c r="J10" s="53"/>
      <c r="K10" s="36"/>
      <c r="L10" s="38"/>
      <c r="M10" s="54">
        <v>0.18</v>
      </c>
      <c r="N10" s="55">
        <v>0.2</v>
      </c>
      <c r="O10" s="56">
        <f t="shared" si="1"/>
        <v>0.19</v>
      </c>
      <c r="P10" s="59">
        <f>2*0.0000000000001</f>
        <v>2.0000000000000001E-13</v>
      </c>
      <c r="Q10" s="59">
        <f>0.000000000001</f>
        <v>9.9999999999999998E-13</v>
      </c>
      <c r="R10" s="58">
        <f t="shared" si="0"/>
        <v>5.9999999999999997E-13</v>
      </c>
      <c r="S10" s="54">
        <v>11</v>
      </c>
      <c r="T10" s="55">
        <v>21</v>
      </c>
      <c r="U10" s="56">
        <f t="shared" si="2"/>
        <v>16</v>
      </c>
      <c r="V10" s="55">
        <v>0.16</v>
      </c>
      <c r="W10" s="55">
        <v>0.17</v>
      </c>
      <c r="X10" s="56">
        <f t="shared" ref="X10:X18" si="3">AVERAGE(V10,W10)</f>
        <v>0.16500000000000001</v>
      </c>
      <c r="Y10" s="54">
        <f>S10/(3*(1-2*V10))</f>
        <v>5.3921568627450975</v>
      </c>
      <c r="Z10" s="56">
        <f>T10/(3*(1-2*W10))</f>
        <v>10.606060606060607</v>
      </c>
      <c r="AA10" s="54">
        <f>S10/(2*(1+V10))</f>
        <v>4.7413793103448283</v>
      </c>
      <c r="AB10" s="56">
        <f>T10/(2*(1+W10))</f>
        <v>8.9743589743589745</v>
      </c>
      <c r="AC10" s="55"/>
      <c r="AD10" s="56">
        <v>0.77</v>
      </c>
      <c r="AE10" s="54">
        <v>37</v>
      </c>
      <c r="AF10" s="56">
        <v>38</v>
      </c>
      <c r="AG10" s="55">
        <v>5.5</v>
      </c>
      <c r="AH10" s="56">
        <v>7</v>
      </c>
      <c r="AI10" s="54"/>
      <c r="AJ10" s="56"/>
      <c r="AK10" s="55"/>
      <c r="AL10" s="56"/>
      <c r="AM10" s="54"/>
      <c r="AN10" s="56"/>
      <c r="AO10" s="59"/>
      <c r="AP10" s="60"/>
      <c r="AQ10" s="61"/>
      <c r="AR10" s="62">
        <v>2184</v>
      </c>
      <c r="AS10" s="38" t="s">
        <v>535</v>
      </c>
      <c r="AT10" s="63">
        <v>2.2599999999999999E-2</v>
      </c>
      <c r="AU10" s="64">
        <v>0</v>
      </c>
      <c r="AV10" s="64">
        <f>AT10*CU10+AU10</f>
        <v>47.911999999999999</v>
      </c>
      <c r="AW10" s="53">
        <f>AT10*CV10+AU10</f>
        <v>48.363999999999997</v>
      </c>
      <c r="AX10" s="63">
        <v>2.9000000000000001E-2</v>
      </c>
      <c r="AY10" s="64">
        <v>0</v>
      </c>
      <c r="AZ10" s="64">
        <f>AX10*CU10+AY10</f>
        <v>61.480000000000004</v>
      </c>
      <c r="BA10" s="53">
        <f>AX10*CV10</f>
        <v>62.06</v>
      </c>
      <c r="BB10" s="63">
        <v>1.6199999999999999E-2</v>
      </c>
      <c r="BC10" s="64">
        <v>0</v>
      </c>
      <c r="BD10" s="64">
        <f>BB10*CU10+BC10</f>
        <v>34.344000000000001</v>
      </c>
      <c r="BE10" s="53">
        <f>BB10*CV10</f>
        <v>34.667999999999999</v>
      </c>
      <c r="BF10" s="36"/>
      <c r="BG10" s="38" t="s">
        <v>568</v>
      </c>
      <c r="BH10" s="63">
        <v>1.0200000000000001E-2</v>
      </c>
      <c r="BI10" s="64">
        <v>0</v>
      </c>
      <c r="BJ10" s="64">
        <f>BH10*CU10</f>
        <v>21.624000000000002</v>
      </c>
      <c r="BK10" s="53">
        <f>BH10*CV10</f>
        <v>21.828000000000003</v>
      </c>
      <c r="BL10" s="66"/>
      <c r="BM10" s="62">
        <v>50</v>
      </c>
      <c r="BN10" s="37" t="s">
        <v>569</v>
      </c>
      <c r="BO10" s="38" t="s">
        <v>536</v>
      </c>
      <c r="BP10" s="36">
        <v>50</v>
      </c>
      <c r="BQ10" s="38">
        <v>90</v>
      </c>
      <c r="BR10" s="37"/>
      <c r="BS10" s="38"/>
      <c r="BT10" s="35"/>
      <c r="BU10" s="38" t="s">
        <v>538</v>
      </c>
      <c r="BV10" s="66"/>
      <c r="BW10" s="62"/>
      <c r="BX10" s="66"/>
      <c r="BY10" s="62"/>
      <c r="BZ10" s="67">
        <v>150</v>
      </c>
      <c r="CA10" s="61"/>
      <c r="CB10" s="62">
        <v>2170</v>
      </c>
      <c r="CC10" s="37"/>
      <c r="CD10" s="38"/>
      <c r="CE10" s="64"/>
      <c r="CF10" s="53"/>
      <c r="CG10" s="37"/>
      <c r="CH10" s="38"/>
      <c r="CI10" s="36"/>
      <c r="CJ10" s="38"/>
      <c r="CK10" s="37"/>
      <c r="CL10" s="38"/>
      <c r="CM10" s="36"/>
      <c r="CN10" s="38"/>
      <c r="CO10" s="37"/>
      <c r="CP10" s="38"/>
      <c r="CQ10" s="37"/>
      <c r="CR10" s="38"/>
      <c r="CS10" s="37"/>
      <c r="CT10" s="38"/>
      <c r="CU10" s="66">
        <v>2120</v>
      </c>
      <c r="CV10" s="61">
        <v>2140</v>
      </c>
      <c r="CW10" s="35" t="s">
        <v>570</v>
      </c>
      <c r="CX10" s="68">
        <v>40848</v>
      </c>
      <c r="CY10" s="37" t="s">
        <v>540</v>
      </c>
      <c r="CZ10" s="35">
        <v>50</v>
      </c>
      <c r="DA10" s="60">
        <v>1.55E-2</v>
      </c>
      <c r="DB10" s="69"/>
      <c r="DC10" s="60">
        <f>1000000000/750</f>
        <v>1333333.3333333333</v>
      </c>
      <c r="DD10" s="69"/>
      <c r="DE10" s="60">
        <f>DC10</f>
        <v>1333333.3333333333</v>
      </c>
      <c r="DF10" s="70">
        <v>9.3000000000000007</v>
      </c>
      <c r="DG10" s="70">
        <v>22.9</v>
      </c>
      <c r="DH10" s="71">
        <v>37803</v>
      </c>
      <c r="DI10" s="64"/>
      <c r="DJ10" s="35">
        <v>1400</v>
      </c>
      <c r="DK10" s="61">
        <v>1900</v>
      </c>
      <c r="DL10" s="61">
        <v>2700</v>
      </c>
      <c r="DM10" s="72"/>
      <c r="DN10" s="64"/>
      <c r="DO10" s="72"/>
      <c r="DP10" s="64">
        <v>1</v>
      </c>
      <c r="DQ10" s="72"/>
      <c r="DR10" s="64"/>
      <c r="DS10" s="70">
        <v>1.17</v>
      </c>
      <c r="DT10" s="36" t="s">
        <v>541</v>
      </c>
      <c r="DU10" s="66"/>
      <c r="DV10" s="62">
        <v>2400</v>
      </c>
      <c r="DW10" s="62">
        <v>2500</v>
      </c>
      <c r="DX10" s="73"/>
      <c r="DY10" s="4" t="s">
        <v>571</v>
      </c>
      <c r="DZ10" s="74" t="s">
        <v>572</v>
      </c>
      <c r="EA10" s="241" t="s">
        <v>573</v>
      </c>
    </row>
    <row r="11" spans="1:131" x14ac:dyDescent="0.4">
      <c r="A11" s="10" t="s">
        <v>40</v>
      </c>
      <c r="B11" s="11" t="s">
        <v>43</v>
      </c>
      <c r="C11" s="12">
        <v>39.886287000000003</v>
      </c>
      <c r="D11" s="12">
        <v>-88.888080000000002</v>
      </c>
      <c r="E11" s="13" t="s">
        <v>20</v>
      </c>
      <c r="F11" s="11" t="s">
        <v>21</v>
      </c>
      <c r="G11" s="13" t="s">
        <v>42</v>
      </c>
      <c r="H11" s="10" t="s">
        <v>23</v>
      </c>
      <c r="I11" s="77"/>
      <c r="J11" s="78"/>
      <c r="K11" s="42"/>
      <c r="L11" s="43"/>
      <c r="M11" s="79">
        <v>0.15</v>
      </c>
      <c r="N11" s="80">
        <v>0.22</v>
      </c>
      <c r="O11" s="81">
        <f t="shared" si="1"/>
        <v>0.185</v>
      </c>
      <c r="P11" s="82">
        <v>2.0000000000000001E-13</v>
      </c>
      <c r="Q11" s="82"/>
      <c r="R11" s="83">
        <f t="shared" si="0"/>
        <v>2.0000000000000001E-13</v>
      </c>
      <c r="S11" s="79"/>
      <c r="T11" s="80">
        <v>17.25</v>
      </c>
      <c r="U11" s="81">
        <f t="shared" si="2"/>
        <v>17.25</v>
      </c>
      <c r="V11" s="80"/>
      <c r="W11" s="80">
        <v>0.13500000000000001</v>
      </c>
      <c r="X11" s="81">
        <f t="shared" si="3"/>
        <v>0.13500000000000001</v>
      </c>
      <c r="Y11" s="79"/>
      <c r="Z11" s="81">
        <f>T11/(3*(1-2*W11))</f>
        <v>7.8767123287671232</v>
      </c>
      <c r="AA11" s="79"/>
      <c r="AB11" s="81">
        <f>T11/(2*(1+W11))</f>
        <v>7.5991189427312777</v>
      </c>
      <c r="AC11" s="79"/>
      <c r="AD11" s="81">
        <v>0.66</v>
      </c>
      <c r="AE11" s="79"/>
      <c r="AF11" s="81"/>
      <c r="AG11" s="80"/>
      <c r="AH11" s="81"/>
      <c r="AI11" s="79"/>
      <c r="AJ11" s="81"/>
      <c r="AK11" s="80"/>
      <c r="AL11" s="81"/>
      <c r="AM11" s="79"/>
      <c r="AN11" s="81"/>
      <c r="AO11" s="82"/>
      <c r="AP11" s="84"/>
      <c r="AQ11" s="85"/>
      <c r="AR11" s="86">
        <v>2184</v>
      </c>
      <c r="AS11" s="43" t="s">
        <v>535</v>
      </c>
      <c r="AT11" s="87">
        <v>2.2599999999999999E-2</v>
      </c>
      <c r="AU11" s="88">
        <v>0</v>
      </c>
      <c r="AV11" s="88">
        <f>AT11*CU11+AU11</f>
        <v>45.674599999999998</v>
      </c>
      <c r="AW11" s="78">
        <f>AT11*CV11+AU11</f>
        <v>47.007999999999996</v>
      </c>
      <c r="AX11" s="89">
        <v>2.9000000000000001E-2</v>
      </c>
      <c r="AY11" s="88">
        <v>0</v>
      </c>
      <c r="AZ11" s="88">
        <f>AX11*CU11+AY11</f>
        <v>58.609000000000002</v>
      </c>
      <c r="BA11" s="78">
        <f>AX11*CV11</f>
        <v>60.32</v>
      </c>
      <c r="BB11" s="87">
        <v>1.6199999999999999E-2</v>
      </c>
      <c r="BC11" s="88">
        <v>0</v>
      </c>
      <c r="BD11" s="88">
        <f>BB11*CU11+BC11</f>
        <v>32.740200000000002</v>
      </c>
      <c r="BE11" s="78">
        <f>BB11*CV11</f>
        <v>33.695999999999998</v>
      </c>
      <c r="BF11" s="42"/>
      <c r="BG11" s="43" t="s">
        <v>568</v>
      </c>
      <c r="BH11" s="87">
        <v>1.0200000000000001E-2</v>
      </c>
      <c r="BI11" s="88">
        <v>0</v>
      </c>
      <c r="BJ11" s="88">
        <f>BH11*CU11</f>
        <v>20.6142</v>
      </c>
      <c r="BK11" s="78">
        <f>BH11*CV11</f>
        <v>21.216000000000001</v>
      </c>
      <c r="BL11" s="90"/>
      <c r="BM11" s="86">
        <v>50</v>
      </c>
      <c r="BN11" s="40"/>
      <c r="BO11" s="43"/>
      <c r="BP11" s="42"/>
      <c r="BQ11" s="43"/>
      <c r="BR11" s="40"/>
      <c r="BS11" s="43"/>
      <c r="BT11" s="3"/>
      <c r="BU11" s="43"/>
      <c r="BV11" s="90"/>
      <c r="BW11" s="86"/>
      <c r="BX11" s="90"/>
      <c r="BY11" s="86"/>
      <c r="BZ11" s="91"/>
      <c r="CA11" s="85"/>
      <c r="CB11" s="86"/>
      <c r="CC11" s="40"/>
      <c r="CD11" s="43"/>
      <c r="CE11" s="88"/>
      <c r="CF11" s="78"/>
      <c r="CG11" s="40"/>
      <c r="CH11" s="43"/>
      <c r="CI11" s="42"/>
      <c r="CJ11" s="43"/>
      <c r="CK11" s="40"/>
      <c r="CL11" s="43"/>
      <c r="CM11" s="42"/>
      <c r="CN11" s="43"/>
      <c r="CO11" s="40"/>
      <c r="CP11" s="43"/>
      <c r="CQ11" s="40"/>
      <c r="CR11" s="43"/>
      <c r="CS11" s="40"/>
      <c r="CT11" s="43"/>
      <c r="CU11" s="90">
        <v>2021</v>
      </c>
      <c r="CV11" s="85">
        <v>2080</v>
      </c>
      <c r="CW11" s="3" t="s">
        <v>570</v>
      </c>
      <c r="CX11" s="92">
        <v>42826</v>
      </c>
      <c r="CY11" s="40" t="s">
        <v>540</v>
      </c>
      <c r="CZ11" s="3">
        <v>50</v>
      </c>
      <c r="DA11" s="84">
        <v>2.41E-2</v>
      </c>
      <c r="DB11" s="93"/>
      <c r="DC11" s="84">
        <v>2400000</v>
      </c>
      <c r="DD11" s="93"/>
      <c r="DE11" s="84">
        <v>2400000</v>
      </c>
      <c r="DF11" s="78">
        <v>12</v>
      </c>
      <c r="DG11" s="94"/>
      <c r="DH11" s="95">
        <v>42826</v>
      </c>
      <c r="DI11" s="88"/>
      <c r="DJ11" s="3" t="s">
        <v>574</v>
      </c>
      <c r="DK11" s="85"/>
      <c r="DL11" s="85"/>
      <c r="DM11" s="96"/>
      <c r="DN11" s="88"/>
      <c r="DO11" s="96"/>
      <c r="DP11" s="88"/>
      <c r="DQ11" s="96"/>
      <c r="DR11" s="88"/>
      <c r="DS11" s="94">
        <v>0.8</v>
      </c>
      <c r="DT11" s="42" t="s">
        <v>541</v>
      </c>
      <c r="DU11" s="90"/>
      <c r="DV11" s="86"/>
      <c r="DW11" s="86"/>
      <c r="DX11" s="97"/>
      <c r="DY11" s="10"/>
      <c r="DZ11" s="98" t="s">
        <v>575</v>
      </c>
      <c r="EA11" s="242" t="s">
        <v>576</v>
      </c>
    </row>
    <row r="12" spans="1:131" x14ac:dyDescent="0.4">
      <c r="A12" s="4" t="s">
        <v>44</v>
      </c>
      <c r="B12" s="5" t="s">
        <v>45</v>
      </c>
      <c r="C12" s="8">
        <v>-27.815318999999999</v>
      </c>
      <c r="D12" s="9">
        <v>140.754976</v>
      </c>
      <c r="E12" s="7" t="s">
        <v>46</v>
      </c>
      <c r="F12" s="5" t="s">
        <v>47</v>
      </c>
      <c r="G12" s="14" t="s">
        <v>48</v>
      </c>
      <c r="H12" s="4" t="s">
        <v>49</v>
      </c>
      <c r="I12" s="52"/>
      <c r="J12" s="53"/>
      <c r="K12" s="99">
        <v>2600</v>
      </c>
      <c r="L12" s="100">
        <v>2700</v>
      </c>
      <c r="M12" s="101">
        <v>3.0000000000000001E-3</v>
      </c>
      <c r="N12" s="55"/>
      <c r="O12" s="56">
        <f t="shared" si="1"/>
        <v>3.0000000000000001E-3</v>
      </c>
      <c r="P12" s="57">
        <v>9.9999999999999998E-20</v>
      </c>
      <c r="Q12" s="36"/>
      <c r="R12" s="60">
        <f t="shared" si="0"/>
        <v>9.9999999999999998E-20</v>
      </c>
      <c r="S12" s="101">
        <v>65</v>
      </c>
      <c r="T12" s="55"/>
      <c r="U12" s="102">
        <f t="shared" si="2"/>
        <v>65</v>
      </c>
      <c r="V12" s="103">
        <v>0.25</v>
      </c>
      <c r="W12" s="55"/>
      <c r="X12" s="56">
        <f t="shared" si="3"/>
        <v>0.25</v>
      </c>
      <c r="Y12" s="54">
        <f t="shared" ref="Y12:Y18" si="4">S12/(3*(1-2*V12))</f>
        <v>43.333333333333336</v>
      </c>
      <c r="Z12" s="56"/>
      <c r="AA12" s="54">
        <f t="shared" ref="AA12:AA18" si="5">S12/(2*(1+V12))</f>
        <v>26</v>
      </c>
      <c r="AB12" s="56"/>
      <c r="AC12" s="54"/>
      <c r="AD12" s="56"/>
      <c r="AE12" s="54"/>
      <c r="AF12" s="56"/>
      <c r="AG12" s="55"/>
      <c r="AH12" s="56"/>
      <c r="AI12" s="54"/>
      <c r="AJ12" s="56"/>
      <c r="AK12" s="55"/>
      <c r="AL12" s="56"/>
      <c r="AM12" s="101">
        <v>2.5</v>
      </c>
      <c r="AN12" s="102">
        <v>3.7774999999999999</v>
      </c>
      <c r="AO12" s="57">
        <v>7.9999999999999996E-6</v>
      </c>
      <c r="AP12" s="60"/>
      <c r="AQ12" s="104"/>
      <c r="AR12" s="105"/>
      <c r="AS12" s="100" t="s">
        <v>577</v>
      </c>
      <c r="AT12" s="106">
        <v>2.324E-2</v>
      </c>
      <c r="AU12" s="107">
        <v>0</v>
      </c>
      <c r="AV12" s="64">
        <f>PRODUCT(AT12,CU12)</f>
        <v>98.77</v>
      </c>
      <c r="AW12" s="53"/>
      <c r="AX12" s="108">
        <v>3.2539999999999999E-2</v>
      </c>
      <c r="AY12" s="107">
        <v>0</v>
      </c>
      <c r="AZ12" s="64">
        <f>PRODUCT(AX12,CU12)</f>
        <v>138.29499999999999</v>
      </c>
      <c r="BA12" s="53"/>
      <c r="BB12" s="106">
        <v>2.7189999999999999E-2</v>
      </c>
      <c r="BC12" s="107">
        <v>0</v>
      </c>
      <c r="BD12" s="64">
        <f>PRODUCT(BB12,CU12)</f>
        <v>115.55749999999999</v>
      </c>
      <c r="BE12" s="53"/>
      <c r="BF12" s="99" t="s">
        <v>578</v>
      </c>
      <c r="BG12" s="100"/>
      <c r="BH12" s="106">
        <v>1.8589999999999999E-2</v>
      </c>
      <c r="BI12" s="107">
        <v>0</v>
      </c>
      <c r="BJ12" s="64">
        <f>PRODUCT(BH12,CU12)</f>
        <v>79.007499999999993</v>
      </c>
      <c r="BK12" s="53"/>
      <c r="BL12" s="66">
        <v>250</v>
      </c>
      <c r="BM12" s="62"/>
      <c r="BN12" s="37"/>
      <c r="BO12" s="38"/>
      <c r="BP12" s="99"/>
      <c r="BQ12" s="100">
        <v>10</v>
      </c>
      <c r="BR12" s="109"/>
      <c r="BS12" s="38"/>
      <c r="BT12" s="35" t="s">
        <v>579</v>
      </c>
      <c r="BU12" s="100" t="s">
        <v>577</v>
      </c>
      <c r="BV12" s="110">
        <v>6</v>
      </c>
      <c r="BW12" s="105">
        <v>150</v>
      </c>
      <c r="BX12" s="110">
        <v>1</v>
      </c>
      <c r="BY12" s="62"/>
      <c r="BZ12" s="111">
        <v>0</v>
      </c>
      <c r="CA12" s="104">
        <v>4200</v>
      </c>
      <c r="CB12" s="105">
        <v>4254</v>
      </c>
      <c r="CC12" s="37"/>
      <c r="CD12" s="100">
        <v>2700</v>
      </c>
      <c r="CE12" s="107">
        <v>3.0000000000000001E-3</v>
      </c>
      <c r="CF12" s="53"/>
      <c r="CG12" s="112">
        <v>1E-14</v>
      </c>
      <c r="CH12" s="58">
        <v>5.0000000000000002E-14</v>
      </c>
      <c r="CI12" s="36"/>
      <c r="CJ12" s="38"/>
      <c r="CK12" s="37"/>
      <c r="CL12" s="38"/>
      <c r="CM12" s="36"/>
      <c r="CN12" s="38"/>
      <c r="CO12" s="37"/>
      <c r="CP12" s="38"/>
      <c r="CQ12" s="37"/>
      <c r="CR12" s="38"/>
      <c r="CS12" s="37"/>
      <c r="CT12" s="38"/>
      <c r="CU12" s="66">
        <v>4250</v>
      </c>
      <c r="CV12" s="61"/>
      <c r="CW12" s="35"/>
      <c r="CX12" s="68">
        <v>38607</v>
      </c>
      <c r="CY12" s="37"/>
      <c r="CZ12" s="35"/>
      <c r="DA12" s="60">
        <v>3.1E-2</v>
      </c>
      <c r="DB12" s="69">
        <v>22500</v>
      </c>
      <c r="DC12" s="60"/>
      <c r="DD12" s="69"/>
      <c r="DE12" s="60"/>
      <c r="DF12" s="70">
        <v>62</v>
      </c>
      <c r="DG12" s="70"/>
      <c r="DH12" s="71">
        <v>38607</v>
      </c>
      <c r="DI12" s="64"/>
      <c r="DJ12" s="35" t="s">
        <v>580</v>
      </c>
      <c r="DK12" s="61">
        <v>4250</v>
      </c>
      <c r="DL12" s="61"/>
      <c r="DM12" s="72"/>
      <c r="DN12" s="64"/>
      <c r="DO12" s="72"/>
      <c r="DP12" s="64"/>
      <c r="DQ12" s="72"/>
      <c r="DR12" s="64"/>
      <c r="DS12" s="70">
        <v>2.9</v>
      </c>
      <c r="DT12" s="36" t="s">
        <v>581</v>
      </c>
      <c r="DU12" s="66"/>
      <c r="DV12" s="62">
        <v>2000</v>
      </c>
      <c r="DW12" s="62"/>
      <c r="DX12" s="113">
        <v>38608</v>
      </c>
      <c r="DY12" s="114"/>
      <c r="DZ12" s="74" t="s">
        <v>582</v>
      </c>
      <c r="EA12" s="241" t="s">
        <v>583</v>
      </c>
    </row>
    <row r="13" spans="1:131" x14ac:dyDescent="0.4">
      <c r="A13" s="4" t="s">
        <v>44</v>
      </c>
      <c r="B13" s="5" t="s">
        <v>50</v>
      </c>
      <c r="C13" s="8">
        <v>-27.815318999999999</v>
      </c>
      <c r="D13" s="8">
        <v>140.754976</v>
      </c>
      <c r="E13" s="7" t="s">
        <v>46</v>
      </c>
      <c r="F13" s="5" t="s">
        <v>47</v>
      </c>
      <c r="G13" s="7" t="s">
        <v>48</v>
      </c>
      <c r="H13" s="4" t="s">
        <v>49</v>
      </c>
      <c r="I13" s="52"/>
      <c r="J13" s="53"/>
      <c r="K13" s="99">
        <v>2600</v>
      </c>
      <c r="L13" s="100">
        <v>2700</v>
      </c>
      <c r="M13" s="101">
        <v>3.0000000000000001E-3</v>
      </c>
      <c r="N13" s="55"/>
      <c r="O13" s="56">
        <f t="shared" si="1"/>
        <v>3.0000000000000001E-3</v>
      </c>
      <c r="P13" s="57">
        <v>9.9999999999999998E-20</v>
      </c>
      <c r="Q13" s="36"/>
      <c r="R13" s="60">
        <f t="shared" si="0"/>
        <v>9.9999999999999998E-20</v>
      </c>
      <c r="S13" s="101">
        <v>65</v>
      </c>
      <c r="T13" s="55"/>
      <c r="U13" s="102">
        <f t="shared" si="2"/>
        <v>65</v>
      </c>
      <c r="V13" s="103">
        <v>0.25</v>
      </c>
      <c r="W13" s="55"/>
      <c r="X13" s="56">
        <f t="shared" si="3"/>
        <v>0.25</v>
      </c>
      <c r="Y13" s="54">
        <f t="shared" si="4"/>
        <v>43.333333333333336</v>
      </c>
      <c r="Z13" s="56"/>
      <c r="AA13" s="54">
        <f t="shared" si="5"/>
        <v>26</v>
      </c>
      <c r="AB13" s="56"/>
      <c r="AC13" s="54"/>
      <c r="AD13" s="56"/>
      <c r="AE13" s="54"/>
      <c r="AF13" s="56"/>
      <c r="AG13" s="55"/>
      <c r="AH13" s="56"/>
      <c r="AI13" s="54"/>
      <c r="AJ13" s="56"/>
      <c r="AK13" s="55"/>
      <c r="AL13" s="56"/>
      <c r="AM13" s="101">
        <v>2.5</v>
      </c>
      <c r="AN13" s="102">
        <v>3.7774999999999999</v>
      </c>
      <c r="AO13" s="57">
        <v>7.9999999999999996E-6</v>
      </c>
      <c r="AP13" s="60"/>
      <c r="AQ13" s="104"/>
      <c r="AR13" s="105"/>
      <c r="AS13" s="100" t="s">
        <v>577</v>
      </c>
      <c r="AT13" s="106">
        <v>2.324E-2</v>
      </c>
      <c r="AU13" s="107">
        <v>0</v>
      </c>
      <c r="AV13" s="64">
        <f>PRODUCT(AT13,CU13)</f>
        <v>92.82056</v>
      </c>
      <c r="AW13" s="53">
        <f>PRODUCT(AT13,CV13)</f>
        <v>98.862960000000001</v>
      </c>
      <c r="AX13" s="108">
        <v>3.2539999999999999E-2</v>
      </c>
      <c r="AY13" s="107">
        <v>0</v>
      </c>
      <c r="AZ13" s="64">
        <f>PRODUCT(AX13,CU13)</f>
        <v>129.96475999999998</v>
      </c>
      <c r="BA13" s="53">
        <f>PRODUCT(AX13,CV13)</f>
        <v>138.42516000000001</v>
      </c>
      <c r="BB13" s="106">
        <v>2.7189999999999999E-2</v>
      </c>
      <c r="BC13" s="107">
        <v>0</v>
      </c>
      <c r="BD13" s="64">
        <f>PRODUCT(BB13,CU13)</f>
        <v>108.59685999999999</v>
      </c>
      <c r="BE13" s="53">
        <f>PRODUCT(BB13,CV13)</f>
        <v>115.66625999999999</v>
      </c>
      <c r="BF13" s="99" t="s">
        <v>578</v>
      </c>
      <c r="BG13" s="100"/>
      <c r="BH13" s="106">
        <v>1.8589999999999999E-2</v>
      </c>
      <c r="BI13" s="107">
        <v>0</v>
      </c>
      <c r="BJ13" s="64">
        <f>PRODUCT(BH13,CU13)</f>
        <v>74.248459999999994</v>
      </c>
      <c r="BK13" s="53">
        <f>PRODUCT(BH13,CV13)</f>
        <v>79.081859999999992</v>
      </c>
      <c r="BL13" s="66">
        <v>250</v>
      </c>
      <c r="BM13" s="62"/>
      <c r="BN13" s="37"/>
      <c r="BO13" s="38"/>
      <c r="BP13" s="99"/>
      <c r="BQ13" s="100">
        <v>10</v>
      </c>
      <c r="BR13" s="109"/>
      <c r="BS13" s="38"/>
      <c r="BT13" s="35" t="s">
        <v>579</v>
      </c>
      <c r="BU13" s="100" t="s">
        <v>577</v>
      </c>
      <c r="BV13" s="110">
        <v>6</v>
      </c>
      <c r="BW13" s="105">
        <v>150</v>
      </c>
      <c r="BX13" s="110">
        <v>1</v>
      </c>
      <c r="BY13" s="62"/>
      <c r="BZ13" s="111">
        <v>0</v>
      </c>
      <c r="CA13" s="104">
        <v>4200</v>
      </c>
      <c r="CB13" s="105">
        <v>4254</v>
      </c>
      <c r="CC13" s="37"/>
      <c r="CD13" s="100">
        <v>2700</v>
      </c>
      <c r="CE13" s="107">
        <v>3.0000000000000001E-3</v>
      </c>
      <c r="CF13" s="53"/>
      <c r="CG13" s="112">
        <v>1E-14</v>
      </c>
      <c r="CH13" s="58">
        <v>5.0000000000000002E-14</v>
      </c>
      <c r="CI13" s="36"/>
      <c r="CJ13" s="38"/>
      <c r="CK13" s="37"/>
      <c r="CL13" s="38"/>
      <c r="CM13" s="36"/>
      <c r="CN13" s="38"/>
      <c r="CO13" s="37"/>
      <c r="CP13" s="38"/>
      <c r="CQ13" s="37"/>
      <c r="CR13" s="38"/>
      <c r="CS13" s="37"/>
      <c r="CT13" s="38"/>
      <c r="CU13" s="66">
        <v>3994</v>
      </c>
      <c r="CV13" s="61">
        <v>4254</v>
      </c>
      <c r="CW13" s="35"/>
      <c r="CX13" s="68">
        <v>37926</v>
      </c>
      <c r="CY13" s="37"/>
      <c r="CZ13" s="35"/>
      <c r="DA13" s="60">
        <v>4.8000000000000001E-2</v>
      </c>
      <c r="DB13" s="69">
        <v>20000</v>
      </c>
      <c r="DC13" s="60"/>
      <c r="DD13" s="69"/>
      <c r="DE13" s="60"/>
      <c r="DF13" s="70">
        <v>70</v>
      </c>
      <c r="DG13" s="70"/>
      <c r="DH13" s="71">
        <v>37931</v>
      </c>
      <c r="DI13" s="64"/>
      <c r="DJ13" s="35">
        <v>27000</v>
      </c>
      <c r="DK13" s="61">
        <v>4000</v>
      </c>
      <c r="DL13" s="61">
        <v>4500</v>
      </c>
      <c r="DM13" s="72"/>
      <c r="DN13" s="64"/>
      <c r="DO13" s="72"/>
      <c r="DP13" s="64">
        <v>0.83</v>
      </c>
      <c r="DQ13" s="72"/>
      <c r="DR13" s="64"/>
      <c r="DS13" s="70">
        <v>3.7</v>
      </c>
      <c r="DT13" s="36" t="s">
        <v>541</v>
      </c>
      <c r="DU13" s="66"/>
      <c r="DV13" s="62">
        <v>7000</v>
      </c>
      <c r="DW13" s="62"/>
      <c r="DX13" s="73">
        <v>37939</v>
      </c>
      <c r="DY13" s="114"/>
      <c r="DZ13" s="74" t="s">
        <v>584</v>
      </c>
      <c r="EA13" s="241" t="s">
        <v>585</v>
      </c>
    </row>
    <row r="14" spans="1:131" x14ac:dyDescent="0.4">
      <c r="A14" s="4" t="s">
        <v>44</v>
      </c>
      <c r="B14" s="5" t="s">
        <v>51</v>
      </c>
      <c r="C14" s="8">
        <v>-27.819541000000001</v>
      </c>
      <c r="D14" s="8">
        <v>140.75128599999999</v>
      </c>
      <c r="E14" s="7" t="s">
        <v>46</v>
      </c>
      <c r="F14" s="5" t="s">
        <v>47</v>
      </c>
      <c r="G14" s="7" t="s">
        <v>48</v>
      </c>
      <c r="H14" s="4" t="s">
        <v>49</v>
      </c>
      <c r="I14" s="52"/>
      <c r="J14" s="53"/>
      <c r="K14" s="99">
        <v>2600</v>
      </c>
      <c r="L14" s="100">
        <v>2700</v>
      </c>
      <c r="M14" s="101">
        <v>3.0000000000000001E-3</v>
      </c>
      <c r="N14" s="55"/>
      <c r="O14" s="56">
        <f t="shared" si="1"/>
        <v>3.0000000000000001E-3</v>
      </c>
      <c r="P14" s="57">
        <v>9.9999999999999998E-20</v>
      </c>
      <c r="Q14" s="36"/>
      <c r="R14" s="60">
        <f t="shared" si="0"/>
        <v>9.9999999999999998E-20</v>
      </c>
      <c r="S14" s="101">
        <v>65</v>
      </c>
      <c r="T14" s="55"/>
      <c r="U14" s="102">
        <f t="shared" si="2"/>
        <v>65</v>
      </c>
      <c r="V14" s="103">
        <v>0.25</v>
      </c>
      <c r="W14" s="55"/>
      <c r="X14" s="56">
        <f t="shared" si="3"/>
        <v>0.25</v>
      </c>
      <c r="Y14" s="54">
        <f t="shared" si="4"/>
        <v>43.333333333333336</v>
      </c>
      <c r="Z14" s="56"/>
      <c r="AA14" s="54">
        <f t="shared" si="5"/>
        <v>26</v>
      </c>
      <c r="AB14" s="56"/>
      <c r="AC14" s="54"/>
      <c r="AD14" s="56"/>
      <c r="AE14" s="54"/>
      <c r="AF14" s="56"/>
      <c r="AG14" s="55"/>
      <c r="AH14" s="56"/>
      <c r="AI14" s="54"/>
      <c r="AJ14" s="56"/>
      <c r="AK14" s="55"/>
      <c r="AL14" s="56"/>
      <c r="AM14" s="101">
        <v>2.5</v>
      </c>
      <c r="AN14" s="102">
        <v>3.7774999999999999</v>
      </c>
      <c r="AO14" s="57">
        <v>7.9999999999999996E-6</v>
      </c>
      <c r="AP14" s="60"/>
      <c r="AQ14" s="104"/>
      <c r="AR14" s="105"/>
      <c r="AS14" s="100" t="s">
        <v>577</v>
      </c>
      <c r="AT14" s="106">
        <v>2.324E-2</v>
      </c>
      <c r="AU14" s="107">
        <v>0</v>
      </c>
      <c r="AV14" s="64"/>
      <c r="AW14" s="53"/>
      <c r="AX14" s="108">
        <v>3.2539999999999999E-2</v>
      </c>
      <c r="AY14" s="107">
        <v>0</v>
      </c>
      <c r="AZ14" s="64"/>
      <c r="BA14" s="53"/>
      <c r="BB14" s="106">
        <v>2.7189999999999999E-2</v>
      </c>
      <c r="BC14" s="107">
        <v>0</v>
      </c>
      <c r="BD14" s="64"/>
      <c r="BE14" s="53"/>
      <c r="BF14" s="99" t="s">
        <v>578</v>
      </c>
      <c r="BG14" s="100"/>
      <c r="BH14" s="106">
        <v>1.8589999999999999E-2</v>
      </c>
      <c r="BI14" s="107">
        <v>0</v>
      </c>
      <c r="BJ14" s="64"/>
      <c r="BK14" s="53"/>
      <c r="BL14" s="66">
        <v>250</v>
      </c>
      <c r="BM14" s="62"/>
      <c r="BN14" s="37"/>
      <c r="BO14" s="38"/>
      <c r="BP14" s="99"/>
      <c r="BQ14" s="100">
        <v>10</v>
      </c>
      <c r="BR14" s="109"/>
      <c r="BS14" s="38"/>
      <c r="BT14" s="35" t="s">
        <v>579</v>
      </c>
      <c r="BU14" s="100" t="s">
        <v>577</v>
      </c>
      <c r="BV14" s="110">
        <v>6</v>
      </c>
      <c r="BW14" s="105">
        <v>150</v>
      </c>
      <c r="BX14" s="110">
        <v>1</v>
      </c>
      <c r="BY14" s="62"/>
      <c r="BZ14" s="111">
        <v>0</v>
      </c>
      <c r="CA14" s="104">
        <v>4180</v>
      </c>
      <c r="CB14" s="62"/>
      <c r="CC14" s="37"/>
      <c r="CD14" s="100">
        <v>2700</v>
      </c>
      <c r="CE14" s="107">
        <v>3.0000000000000001E-3</v>
      </c>
      <c r="CF14" s="53"/>
      <c r="CG14" s="112">
        <v>1E-14</v>
      </c>
      <c r="CH14" s="58">
        <v>5.0000000000000002E-14</v>
      </c>
      <c r="CI14" s="36"/>
      <c r="CJ14" s="38"/>
      <c r="CK14" s="37"/>
      <c r="CL14" s="38"/>
      <c r="CM14" s="36"/>
      <c r="CN14" s="38"/>
      <c r="CO14" s="37"/>
      <c r="CP14" s="38"/>
      <c r="CQ14" s="37"/>
      <c r="CR14" s="38"/>
      <c r="CS14" s="37"/>
      <c r="CT14" s="38"/>
      <c r="CU14" s="66"/>
      <c r="CV14" s="61"/>
      <c r="CW14" s="35"/>
      <c r="CX14" s="68"/>
      <c r="CY14" s="37"/>
      <c r="CZ14" s="35"/>
      <c r="DA14" s="60"/>
      <c r="DB14" s="69"/>
      <c r="DC14" s="60"/>
      <c r="DD14" s="69"/>
      <c r="DE14" s="60"/>
      <c r="DF14" s="70"/>
      <c r="DG14" s="70"/>
      <c r="DH14" s="71">
        <v>39555</v>
      </c>
      <c r="DI14" s="64"/>
      <c r="DJ14" s="35">
        <v>310</v>
      </c>
      <c r="DK14" s="61"/>
      <c r="DL14" s="61"/>
      <c r="DM14" s="72"/>
      <c r="DN14" s="64"/>
      <c r="DO14" s="72"/>
      <c r="DP14" s="64"/>
      <c r="DQ14" s="72"/>
      <c r="DR14" s="64"/>
      <c r="DS14" s="70">
        <v>1.7</v>
      </c>
      <c r="DT14" s="36" t="s">
        <v>581</v>
      </c>
      <c r="DU14" s="66"/>
      <c r="DV14" s="62"/>
      <c r="DW14" s="62"/>
      <c r="DX14" s="73"/>
      <c r="DY14" s="114"/>
      <c r="DZ14" s="74" t="s">
        <v>586</v>
      </c>
      <c r="EA14" s="241" t="s">
        <v>587</v>
      </c>
    </row>
    <row r="15" spans="1:131" x14ac:dyDescent="0.4">
      <c r="A15" s="4" t="s">
        <v>44</v>
      </c>
      <c r="B15" s="5" t="s">
        <v>52</v>
      </c>
      <c r="C15" s="8">
        <v>-27.815318999999999</v>
      </c>
      <c r="D15" s="8">
        <v>140.754976</v>
      </c>
      <c r="E15" s="7" t="s">
        <v>46</v>
      </c>
      <c r="F15" s="5" t="s">
        <v>47</v>
      </c>
      <c r="G15" s="7" t="s">
        <v>48</v>
      </c>
      <c r="H15" s="4" t="s">
        <v>49</v>
      </c>
      <c r="I15" s="52"/>
      <c r="J15" s="53"/>
      <c r="K15" s="99">
        <v>2600</v>
      </c>
      <c r="L15" s="100">
        <v>2700</v>
      </c>
      <c r="M15" s="101">
        <v>3.0000000000000001E-3</v>
      </c>
      <c r="N15" s="55"/>
      <c r="O15" s="56">
        <f t="shared" si="1"/>
        <v>3.0000000000000001E-3</v>
      </c>
      <c r="P15" s="57">
        <v>9.9999999999999998E-20</v>
      </c>
      <c r="Q15" s="36"/>
      <c r="R15" s="60">
        <f t="shared" si="0"/>
        <v>9.9999999999999998E-20</v>
      </c>
      <c r="S15" s="101">
        <v>65</v>
      </c>
      <c r="T15" s="55"/>
      <c r="U15" s="102">
        <f t="shared" si="2"/>
        <v>65</v>
      </c>
      <c r="V15" s="103">
        <v>0.25</v>
      </c>
      <c r="W15" s="55"/>
      <c r="X15" s="56">
        <f t="shared" si="3"/>
        <v>0.25</v>
      </c>
      <c r="Y15" s="54">
        <f t="shared" si="4"/>
        <v>43.333333333333336</v>
      </c>
      <c r="Z15" s="56"/>
      <c r="AA15" s="54">
        <f t="shared" si="5"/>
        <v>26</v>
      </c>
      <c r="AB15" s="56"/>
      <c r="AC15" s="54"/>
      <c r="AD15" s="56"/>
      <c r="AE15" s="54"/>
      <c r="AF15" s="56"/>
      <c r="AG15" s="55"/>
      <c r="AH15" s="56"/>
      <c r="AI15" s="54"/>
      <c r="AJ15" s="56"/>
      <c r="AK15" s="55"/>
      <c r="AL15" s="56"/>
      <c r="AM15" s="101">
        <v>2.5</v>
      </c>
      <c r="AN15" s="102">
        <v>3.7774999999999999</v>
      </c>
      <c r="AO15" s="57">
        <v>7.9999999999999996E-6</v>
      </c>
      <c r="AP15" s="60"/>
      <c r="AQ15" s="104"/>
      <c r="AR15" s="105"/>
      <c r="AS15" s="100" t="s">
        <v>577</v>
      </c>
      <c r="AT15" s="106">
        <v>2.324E-2</v>
      </c>
      <c r="AU15" s="107">
        <v>0</v>
      </c>
      <c r="AV15" s="64">
        <f>PRODUCT(AT15,CU15)</f>
        <v>96.678399999999996</v>
      </c>
      <c r="AW15" s="53"/>
      <c r="AX15" s="108">
        <v>3.2539999999999999E-2</v>
      </c>
      <c r="AY15" s="107">
        <v>0</v>
      </c>
      <c r="AZ15" s="64">
        <f>PRODUCT(AX15,CU15)</f>
        <v>135.3664</v>
      </c>
      <c r="BA15" s="53"/>
      <c r="BB15" s="106">
        <v>2.7189999999999999E-2</v>
      </c>
      <c r="BC15" s="107">
        <v>0</v>
      </c>
      <c r="BD15" s="64">
        <f>PRODUCT(BB15,CU15)</f>
        <v>113.1104</v>
      </c>
      <c r="BE15" s="53"/>
      <c r="BF15" s="99" t="s">
        <v>578</v>
      </c>
      <c r="BG15" s="100"/>
      <c r="BH15" s="106">
        <v>1.8589999999999999E-2</v>
      </c>
      <c r="BI15" s="107">
        <v>0</v>
      </c>
      <c r="BJ15" s="64">
        <f>PRODUCT(BH15,CU15)</f>
        <v>77.334400000000002</v>
      </c>
      <c r="BK15" s="53"/>
      <c r="BL15" s="66">
        <v>250</v>
      </c>
      <c r="BM15" s="62"/>
      <c r="BN15" s="37"/>
      <c r="BO15" s="38"/>
      <c r="BP15" s="99"/>
      <c r="BQ15" s="100">
        <v>10</v>
      </c>
      <c r="BR15" s="109"/>
      <c r="BS15" s="38"/>
      <c r="BT15" s="35" t="s">
        <v>579</v>
      </c>
      <c r="BU15" s="100" t="s">
        <v>577</v>
      </c>
      <c r="BV15" s="110">
        <v>6</v>
      </c>
      <c r="BW15" s="105">
        <v>150</v>
      </c>
      <c r="BX15" s="110">
        <v>1</v>
      </c>
      <c r="BY15" s="62"/>
      <c r="BZ15" s="111">
        <v>0</v>
      </c>
      <c r="CA15" s="104">
        <v>4157</v>
      </c>
      <c r="CB15" s="62"/>
      <c r="CC15" s="37"/>
      <c r="CD15" s="100">
        <v>2700</v>
      </c>
      <c r="CE15" s="107">
        <v>3.0000000000000001E-3</v>
      </c>
      <c r="CF15" s="53"/>
      <c r="CG15" s="112">
        <v>1E-14</v>
      </c>
      <c r="CH15" s="58">
        <v>5.0000000000000002E-14</v>
      </c>
      <c r="CI15" s="36"/>
      <c r="CJ15" s="38"/>
      <c r="CK15" s="37"/>
      <c r="CL15" s="38"/>
      <c r="CM15" s="36"/>
      <c r="CN15" s="38"/>
      <c r="CO15" s="37"/>
      <c r="CP15" s="38"/>
      <c r="CQ15" s="37"/>
      <c r="CR15" s="38"/>
      <c r="CS15" s="37"/>
      <c r="CT15" s="38"/>
      <c r="CU15" s="66">
        <v>4160</v>
      </c>
      <c r="CV15" s="61"/>
      <c r="CW15" s="35"/>
      <c r="CX15" s="115">
        <v>41227</v>
      </c>
      <c r="CY15" s="36"/>
      <c r="CZ15" s="35"/>
      <c r="DA15" s="60">
        <v>0.06</v>
      </c>
      <c r="DB15" s="69">
        <v>34000</v>
      </c>
      <c r="DC15" s="60"/>
      <c r="DD15" s="69"/>
      <c r="DE15" s="60"/>
      <c r="DF15" s="70">
        <v>50</v>
      </c>
      <c r="DG15" s="70"/>
      <c r="DH15" s="71">
        <v>41227</v>
      </c>
      <c r="DI15" s="64"/>
      <c r="DJ15" s="35" t="s">
        <v>588</v>
      </c>
      <c r="DK15" s="61"/>
      <c r="DL15" s="61"/>
      <c r="DM15" s="72"/>
      <c r="DN15" s="64"/>
      <c r="DO15" s="72"/>
      <c r="DP15" s="64">
        <v>1.62</v>
      </c>
      <c r="DQ15" s="72"/>
      <c r="DR15" s="64"/>
      <c r="DS15" s="70">
        <v>3.9</v>
      </c>
      <c r="DT15" s="36" t="s">
        <v>581</v>
      </c>
      <c r="DU15" s="66"/>
      <c r="DV15" s="62">
        <v>5000</v>
      </c>
      <c r="DW15" s="62"/>
      <c r="DX15" s="73">
        <v>41222</v>
      </c>
      <c r="DY15" s="114"/>
      <c r="DZ15" s="74" t="s">
        <v>589</v>
      </c>
      <c r="EA15" s="241" t="s">
        <v>590</v>
      </c>
    </row>
    <row r="16" spans="1:131" x14ac:dyDescent="0.4">
      <c r="A16" s="4" t="s">
        <v>44</v>
      </c>
      <c r="B16" s="5" t="s">
        <v>53</v>
      </c>
      <c r="C16" s="8">
        <v>-27.801045999999999</v>
      </c>
      <c r="D16" s="8">
        <v>140.66142199999999</v>
      </c>
      <c r="E16" s="7" t="s">
        <v>46</v>
      </c>
      <c r="F16" s="5" t="s">
        <v>47</v>
      </c>
      <c r="G16" s="7" t="s">
        <v>48</v>
      </c>
      <c r="H16" s="4" t="s">
        <v>49</v>
      </c>
      <c r="I16" s="52"/>
      <c r="J16" s="53"/>
      <c r="K16" s="99">
        <v>2600</v>
      </c>
      <c r="L16" s="100">
        <v>2700</v>
      </c>
      <c r="M16" s="101">
        <v>3.0000000000000001E-3</v>
      </c>
      <c r="N16" s="55"/>
      <c r="O16" s="56">
        <f t="shared" si="1"/>
        <v>3.0000000000000001E-3</v>
      </c>
      <c r="P16" s="57">
        <v>9.9999999999999998E-20</v>
      </c>
      <c r="Q16" s="36"/>
      <c r="R16" s="60">
        <f t="shared" si="0"/>
        <v>9.9999999999999998E-20</v>
      </c>
      <c r="S16" s="101">
        <v>65</v>
      </c>
      <c r="T16" s="55"/>
      <c r="U16" s="102">
        <f t="shared" si="2"/>
        <v>65</v>
      </c>
      <c r="V16" s="103">
        <v>0.25</v>
      </c>
      <c r="W16" s="55"/>
      <c r="X16" s="56">
        <f t="shared" si="3"/>
        <v>0.25</v>
      </c>
      <c r="Y16" s="54">
        <f t="shared" si="4"/>
        <v>43.333333333333336</v>
      </c>
      <c r="Z16" s="56"/>
      <c r="AA16" s="54">
        <f t="shared" si="5"/>
        <v>26</v>
      </c>
      <c r="AB16" s="56"/>
      <c r="AC16" s="54"/>
      <c r="AD16" s="56"/>
      <c r="AE16" s="54"/>
      <c r="AF16" s="56"/>
      <c r="AG16" s="55"/>
      <c r="AH16" s="56"/>
      <c r="AI16" s="54"/>
      <c r="AJ16" s="56"/>
      <c r="AK16" s="55"/>
      <c r="AL16" s="56"/>
      <c r="AM16" s="101">
        <v>2.5</v>
      </c>
      <c r="AN16" s="102">
        <v>3.7774999999999999</v>
      </c>
      <c r="AO16" s="57">
        <v>7.9999999999999996E-6</v>
      </c>
      <c r="AP16" s="60"/>
      <c r="AQ16" s="104"/>
      <c r="AR16" s="105"/>
      <c r="AS16" s="100" t="s">
        <v>577</v>
      </c>
      <c r="AT16" s="106">
        <v>2.324E-2</v>
      </c>
      <c r="AU16" s="107">
        <v>0</v>
      </c>
      <c r="AV16" s="64">
        <f>PRODUCT(AT16,CU16)</f>
        <v>99.048879999999997</v>
      </c>
      <c r="AW16" s="53">
        <f>PRODUCT(AT16,CV16)</f>
        <v>112.76048</v>
      </c>
      <c r="AX16" s="108">
        <v>3.2539999999999999E-2</v>
      </c>
      <c r="AY16" s="107">
        <v>0</v>
      </c>
      <c r="AZ16" s="64">
        <f>PRODUCT(AX16,CU16)</f>
        <v>138.68547999999998</v>
      </c>
      <c r="BA16" s="53">
        <f>PRODUCT(AX16,CV16)</f>
        <v>157.88408000000001</v>
      </c>
      <c r="BB16" s="106">
        <v>2.7189999999999999E-2</v>
      </c>
      <c r="BC16" s="107">
        <v>0</v>
      </c>
      <c r="BD16" s="64">
        <f>PRODUCT(BB16,CU16)</f>
        <v>115.88378</v>
      </c>
      <c r="BE16" s="53">
        <f>PRODUCT(BB16,CV16)</f>
        <v>131.92588000000001</v>
      </c>
      <c r="BF16" s="99" t="s">
        <v>578</v>
      </c>
      <c r="BG16" s="100"/>
      <c r="BH16" s="106">
        <v>1.8589999999999999E-2</v>
      </c>
      <c r="BI16" s="107">
        <v>0</v>
      </c>
      <c r="BJ16" s="64">
        <f>PRODUCT(BH16,CU16)</f>
        <v>79.230579999999989</v>
      </c>
      <c r="BK16" s="53">
        <f>PRODUCT(BH16,CV16)</f>
        <v>90.198679999999996</v>
      </c>
      <c r="BL16" s="66">
        <v>250</v>
      </c>
      <c r="BM16" s="62"/>
      <c r="BN16" s="109" t="s">
        <v>591</v>
      </c>
      <c r="BO16" s="38"/>
      <c r="BP16" s="99"/>
      <c r="BQ16" s="100">
        <v>10</v>
      </c>
      <c r="BR16" s="109"/>
      <c r="BS16" s="38"/>
      <c r="BT16" s="35" t="s">
        <v>579</v>
      </c>
      <c r="BU16" s="100" t="s">
        <v>577</v>
      </c>
      <c r="BV16" s="110">
        <v>6</v>
      </c>
      <c r="BW16" s="105">
        <v>150</v>
      </c>
      <c r="BX16" s="110">
        <v>1</v>
      </c>
      <c r="BY16" s="62"/>
      <c r="BZ16" s="67"/>
      <c r="CA16" s="104"/>
      <c r="CB16" s="62"/>
      <c r="CC16" s="37"/>
      <c r="CD16" s="100">
        <v>2700</v>
      </c>
      <c r="CE16" s="107">
        <v>3.0000000000000001E-3</v>
      </c>
      <c r="CF16" s="53"/>
      <c r="CG16" s="112">
        <v>1E-14</v>
      </c>
      <c r="CH16" s="58">
        <v>5.0000000000000002E-14</v>
      </c>
      <c r="CI16" s="36"/>
      <c r="CJ16" s="38"/>
      <c r="CK16" s="37"/>
      <c r="CL16" s="38"/>
      <c r="CM16" s="36"/>
      <c r="CN16" s="38"/>
      <c r="CO16" s="37"/>
      <c r="CP16" s="38"/>
      <c r="CQ16" s="37"/>
      <c r="CR16" s="38"/>
      <c r="CS16" s="37"/>
      <c r="CT16" s="38"/>
      <c r="CU16" s="66">
        <v>4262</v>
      </c>
      <c r="CV16" s="61">
        <v>4852</v>
      </c>
      <c r="CW16" s="35"/>
      <c r="CX16" s="115">
        <v>40474</v>
      </c>
      <c r="CY16" s="36"/>
      <c r="CZ16" s="35"/>
      <c r="DA16" s="60">
        <v>0.01</v>
      </c>
      <c r="DB16" s="69">
        <v>380</v>
      </c>
      <c r="DC16" s="60"/>
      <c r="DD16" s="69"/>
      <c r="DE16" s="60"/>
      <c r="DF16" s="70">
        <v>70</v>
      </c>
      <c r="DG16" s="116">
        <v>120</v>
      </c>
      <c r="DH16" s="71">
        <v>40474</v>
      </c>
      <c r="DI16" s="64"/>
      <c r="DJ16" s="35">
        <v>73</v>
      </c>
      <c r="DK16" s="61">
        <v>4300</v>
      </c>
      <c r="DL16" s="61">
        <v>4700</v>
      </c>
      <c r="DM16" s="72"/>
      <c r="DN16" s="64"/>
      <c r="DO16" s="72"/>
      <c r="DP16" s="64"/>
      <c r="DQ16" s="72"/>
      <c r="DR16" s="64"/>
      <c r="DS16" s="70">
        <v>1.6</v>
      </c>
      <c r="DT16" s="36" t="s">
        <v>581</v>
      </c>
      <c r="DU16" s="66"/>
      <c r="DV16" s="62"/>
      <c r="DW16" s="62"/>
      <c r="DX16" s="73">
        <v>40544</v>
      </c>
      <c r="DY16" s="4"/>
      <c r="DZ16" s="74" t="s">
        <v>592</v>
      </c>
      <c r="EA16" s="241" t="s">
        <v>593</v>
      </c>
    </row>
    <row r="17" spans="1:131" x14ac:dyDescent="0.4">
      <c r="A17" s="4" t="s">
        <v>44</v>
      </c>
      <c r="B17" s="5" t="s">
        <v>54</v>
      </c>
      <c r="C17" s="8">
        <v>-30.193843000000001</v>
      </c>
      <c r="D17" s="8">
        <v>139.69747000000001</v>
      </c>
      <c r="E17" s="7" t="s">
        <v>46</v>
      </c>
      <c r="F17" s="5" t="s">
        <v>47</v>
      </c>
      <c r="G17" s="7"/>
      <c r="H17" s="4" t="s">
        <v>55</v>
      </c>
      <c r="I17" s="52"/>
      <c r="J17" s="53"/>
      <c r="K17" s="36">
        <v>2681</v>
      </c>
      <c r="L17" s="38"/>
      <c r="M17" s="54"/>
      <c r="N17" s="55">
        <v>0.1</v>
      </c>
      <c r="O17" s="56">
        <v>0.1</v>
      </c>
      <c r="P17" s="59">
        <v>3.2000000000000002E-17</v>
      </c>
      <c r="Q17" s="36"/>
      <c r="R17" s="60">
        <f t="shared" si="0"/>
        <v>3.2000000000000002E-17</v>
      </c>
      <c r="S17" s="54">
        <v>25</v>
      </c>
      <c r="T17" s="55"/>
      <c r="U17" s="56">
        <f t="shared" si="2"/>
        <v>25</v>
      </c>
      <c r="V17" s="55">
        <v>0.2</v>
      </c>
      <c r="W17" s="55"/>
      <c r="X17" s="56">
        <f t="shared" si="3"/>
        <v>0.2</v>
      </c>
      <c r="Y17" s="54">
        <f t="shared" si="4"/>
        <v>13.888888888888891</v>
      </c>
      <c r="Z17" s="56"/>
      <c r="AA17" s="54">
        <f t="shared" si="5"/>
        <v>10.416666666666668</v>
      </c>
      <c r="AB17" s="56"/>
      <c r="AC17" s="54">
        <v>0.7</v>
      </c>
      <c r="AD17" s="56"/>
      <c r="AE17" s="54"/>
      <c r="AF17" s="56"/>
      <c r="AG17" s="55"/>
      <c r="AH17" s="56"/>
      <c r="AI17" s="54"/>
      <c r="AJ17" s="56"/>
      <c r="AK17" s="55"/>
      <c r="AL17" s="56"/>
      <c r="AM17" s="54"/>
      <c r="AN17" s="56"/>
      <c r="AO17" s="59"/>
      <c r="AP17" s="60"/>
      <c r="AQ17" s="61">
        <v>3880</v>
      </c>
      <c r="AR17" s="62"/>
      <c r="AS17" s="38" t="s">
        <v>535</v>
      </c>
      <c r="AT17" s="63">
        <v>2.63E-2</v>
      </c>
      <c r="AU17" s="64">
        <v>0</v>
      </c>
      <c r="AV17" s="64">
        <f>PRODUCT(AT17,CU17)</f>
        <v>95.705700000000007</v>
      </c>
      <c r="AW17" s="53">
        <f>PRODUCT(AT17,CV17)</f>
        <v>95.863500000000002</v>
      </c>
      <c r="AX17" s="65">
        <v>3.5200000000000002E-2</v>
      </c>
      <c r="AY17" s="64">
        <v>0</v>
      </c>
      <c r="AZ17" s="64">
        <f>PRODUCT(AX17,CU17)</f>
        <v>128.09280000000001</v>
      </c>
      <c r="BA17" s="53">
        <f>PRODUCT(AX17,CV17)</f>
        <v>128.304</v>
      </c>
      <c r="BB17" s="63">
        <v>0.02</v>
      </c>
      <c r="BC17" s="64">
        <v>0</v>
      </c>
      <c r="BD17" s="64">
        <f>PRODUCT(BB17,CU17)</f>
        <v>72.78</v>
      </c>
      <c r="BE17" s="53">
        <f>PRODUCT(BB17,CV17)</f>
        <v>72.900000000000006</v>
      </c>
      <c r="BF17" s="36" t="s">
        <v>594</v>
      </c>
      <c r="BG17" s="38"/>
      <c r="BH17" s="63">
        <f>59/3640</f>
        <v>1.620879120879121E-2</v>
      </c>
      <c r="BI17" s="64">
        <v>0</v>
      </c>
      <c r="BJ17" s="64">
        <f>PRODUCT(BH17,CU17)</f>
        <v>58.983791208791217</v>
      </c>
      <c r="BK17" s="53">
        <f>PRODUCT(BH17,CV17)</f>
        <v>59.081043956043963</v>
      </c>
      <c r="BL17" s="66">
        <v>176</v>
      </c>
      <c r="BM17" s="62"/>
      <c r="BN17" s="37" t="s">
        <v>595</v>
      </c>
      <c r="BO17" s="38"/>
      <c r="BP17" s="36"/>
      <c r="BQ17" s="38"/>
      <c r="BR17" s="37"/>
      <c r="BS17" s="38"/>
      <c r="BT17" s="35"/>
      <c r="BU17" s="38"/>
      <c r="BV17" s="66"/>
      <c r="BW17" s="62"/>
      <c r="BX17" s="66"/>
      <c r="BY17" s="62"/>
      <c r="BZ17" s="67"/>
      <c r="CA17" s="61"/>
      <c r="CB17" s="62"/>
      <c r="CC17" s="37"/>
      <c r="CD17" s="38"/>
      <c r="CE17" s="64"/>
      <c r="CF17" s="53"/>
      <c r="CG17" s="37"/>
      <c r="CH17" s="38"/>
      <c r="CI17" s="36"/>
      <c r="CJ17" s="38"/>
      <c r="CK17" s="37"/>
      <c r="CL17" s="38"/>
      <c r="CM17" s="36"/>
      <c r="CN17" s="38"/>
      <c r="CO17" s="37"/>
      <c r="CP17" s="38"/>
      <c r="CQ17" s="37"/>
      <c r="CR17" s="38"/>
      <c r="CS17" s="37"/>
      <c r="CT17" s="38"/>
      <c r="CU17" s="66">
        <v>3639</v>
      </c>
      <c r="CV17" s="61">
        <v>3645</v>
      </c>
      <c r="CW17" s="35" t="s">
        <v>596</v>
      </c>
      <c r="CX17" s="115">
        <v>40544</v>
      </c>
      <c r="CY17" s="36" t="s">
        <v>597</v>
      </c>
      <c r="CZ17" s="35"/>
      <c r="DA17" s="60">
        <v>5.3E-3</v>
      </c>
      <c r="DB17" s="69">
        <v>1400</v>
      </c>
      <c r="DC17" s="60"/>
      <c r="DD17" s="69"/>
      <c r="DE17" s="60"/>
      <c r="DF17" s="70">
        <v>59</v>
      </c>
      <c r="DG17" s="70"/>
      <c r="DH17" s="71"/>
      <c r="DI17" s="64"/>
      <c r="DJ17" s="35" t="s">
        <v>598</v>
      </c>
      <c r="DK17" s="61"/>
      <c r="DL17" s="61"/>
      <c r="DM17" s="72"/>
      <c r="DN17" s="64"/>
      <c r="DO17" s="72"/>
      <c r="DP17" s="64"/>
      <c r="DQ17" s="72"/>
      <c r="DR17" s="64"/>
      <c r="DS17" s="70">
        <v>1.4</v>
      </c>
      <c r="DT17" s="36" t="s">
        <v>581</v>
      </c>
      <c r="DU17" s="66"/>
      <c r="DV17" s="62"/>
      <c r="DW17" s="62"/>
      <c r="DX17" s="73"/>
      <c r="DY17" s="114"/>
      <c r="DZ17" s="74"/>
      <c r="EA17" s="241" t="s">
        <v>599</v>
      </c>
    </row>
    <row r="18" spans="1:131" x14ac:dyDescent="0.4">
      <c r="A18" s="4" t="s">
        <v>44</v>
      </c>
      <c r="B18" s="5" t="s">
        <v>56</v>
      </c>
      <c r="C18" s="8">
        <v>-30.193843000000001</v>
      </c>
      <c r="D18" s="8">
        <v>139.69747000000001</v>
      </c>
      <c r="E18" s="7" t="s">
        <v>46</v>
      </c>
      <c r="F18" s="5" t="s">
        <v>47</v>
      </c>
      <c r="G18" s="7"/>
      <c r="H18" s="4" t="s">
        <v>55</v>
      </c>
      <c r="I18" s="52"/>
      <c r="J18" s="53"/>
      <c r="K18" s="36">
        <v>2681</v>
      </c>
      <c r="L18" s="38"/>
      <c r="M18" s="54"/>
      <c r="N18" s="55">
        <v>0.1</v>
      </c>
      <c r="O18" s="56">
        <v>0.1</v>
      </c>
      <c r="P18" s="59">
        <v>3.2000000000000002E-17</v>
      </c>
      <c r="Q18" s="36"/>
      <c r="R18" s="60">
        <f t="shared" si="0"/>
        <v>3.2000000000000002E-17</v>
      </c>
      <c r="S18" s="54">
        <v>25</v>
      </c>
      <c r="T18" s="55"/>
      <c r="U18" s="56">
        <f t="shared" si="2"/>
        <v>25</v>
      </c>
      <c r="V18" s="55">
        <v>0.2</v>
      </c>
      <c r="W18" s="55"/>
      <c r="X18" s="56">
        <f t="shared" si="3"/>
        <v>0.2</v>
      </c>
      <c r="Y18" s="54">
        <f t="shared" si="4"/>
        <v>13.888888888888891</v>
      </c>
      <c r="Z18" s="56"/>
      <c r="AA18" s="54">
        <f t="shared" si="5"/>
        <v>10.416666666666668</v>
      </c>
      <c r="AB18" s="56"/>
      <c r="AC18" s="54">
        <v>0.7</v>
      </c>
      <c r="AD18" s="56"/>
      <c r="AE18" s="54"/>
      <c r="AF18" s="56"/>
      <c r="AG18" s="55"/>
      <c r="AH18" s="56"/>
      <c r="AI18" s="54"/>
      <c r="AJ18" s="56"/>
      <c r="AK18" s="55"/>
      <c r="AL18" s="56"/>
      <c r="AM18" s="54"/>
      <c r="AN18" s="56"/>
      <c r="AO18" s="59"/>
      <c r="AP18" s="60"/>
      <c r="AQ18" s="61">
        <v>3880</v>
      </c>
      <c r="AR18" s="62"/>
      <c r="AS18" s="38" t="s">
        <v>535</v>
      </c>
      <c r="AT18" s="63">
        <v>2.63E-2</v>
      </c>
      <c r="AU18" s="64">
        <v>0</v>
      </c>
      <c r="AV18" s="64">
        <f>PRODUCT(AT18,CU18)</f>
        <v>95.705700000000007</v>
      </c>
      <c r="AW18" s="53">
        <f>PRODUCT(AT18,CV18)</f>
        <v>95.863500000000002</v>
      </c>
      <c r="AX18" s="65">
        <v>3.5200000000000002E-2</v>
      </c>
      <c r="AY18" s="64">
        <v>0</v>
      </c>
      <c r="AZ18" s="64">
        <f>PRODUCT(AX18,CU18)</f>
        <v>128.09280000000001</v>
      </c>
      <c r="BA18" s="53">
        <f>PRODUCT(AX18,CV18)</f>
        <v>128.304</v>
      </c>
      <c r="BB18" s="65">
        <v>0.02</v>
      </c>
      <c r="BC18" s="64">
        <v>0</v>
      </c>
      <c r="BD18" s="64">
        <f>PRODUCT(BB18,CU18)</f>
        <v>72.78</v>
      </c>
      <c r="BE18" s="53">
        <f>PRODUCT(BB18,CV18)</f>
        <v>72.900000000000006</v>
      </c>
      <c r="BF18" s="36" t="s">
        <v>594</v>
      </c>
      <c r="BG18" s="38"/>
      <c r="BH18" s="63">
        <f>59/3640</f>
        <v>1.620879120879121E-2</v>
      </c>
      <c r="BI18" s="64">
        <v>0</v>
      </c>
      <c r="BJ18" s="64">
        <f>PRODUCT(BH18,CU18)</f>
        <v>58.983791208791217</v>
      </c>
      <c r="BK18" s="53">
        <f>PRODUCT(BH18,CV18)</f>
        <v>59.081043956043963</v>
      </c>
      <c r="BL18" s="66">
        <v>176</v>
      </c>
      <c r="BM18" s="62"/>
      <c r="BN18" s="37" t="s">
        <v>595</v>
      </c>
      <c r="BO18" s="38"/>
      <c r="BP18" s="36"/>
      <c r="BQ18" s="38"/>
      <c r="BR18" s="37"/>
      <c r="BS18" s="38"/>
      <c r="BT18" s="35"/>
      <c r="BU18" s="38"/>
      <c r="BV18" s="66"/>
      <c r="BW18" s="62"/>
      <c r="BX18" s="66"/>
      <c r="BY18" s="62"/>
      <c r="BZ18" s="67"/>
      <c r="CA18" s="61"/>
      <c r="CB18" s="62"/>
      <c r="CC18" s="37"/>
      <c r="CD18" s="38"/>
      <c r="CE18" s="64"/>
      <c r="CF18" s="53"/>
      <c r="CG18" s="37"/>
      <c r="CH18" s="38"/>
      <c r="CI18" s="36"/>
      <c r="CJ18" s="38"/>
      <c r="CK18" s="37"/>
      <c r="CL18" s="38"/>
      <c r="CM18" s="36"/>
      <c r="CN18" s="38"/>
      <c r="CO18" s="37"/>
      <c r="CP18" s="38"/>
      <c r="CQ18" s="37"/>
      <c r="CR18" s="38"/>
      <c r="CS18" s="37"/>
      <c r="CT18" s="38"/>
      <c r="CU18" s="66">
        <v>3639</v>
      </c>
      <c r="CV18" s="61">
        <v>3645</v>
      </c>
      <c r="CW18" s="35" t="s">
        <v>266</v>
      </c>
      <c r="CX18" s="68">
        <v>40734</v>
      </c>
      <c r="CY18" s="37" t="s">
        <v>597</v>
      </c>
      <c r="CZ18" s="35"/>
      <c r="DA18" s="60">
        <v>2.7E-2</v>
      </c>
      <c r="DB18" s="69">
        <v>3100</v>
      </c>
      <c r="DC18" s="60"/>
      <c r="DD18" s="69"/>
      <c r="DE18" s="60"/>
      <c r="DF18" s="70">
        <v>62</v>
      </c>
      <c r="DG18" s="70"/>
      <c r="DH18" s="71">
        <v>40734</v>
      </c>
      <c r="DI18" s="64"/>
      <c r="DJ18" s="35">
        <v>7085</v>
      </c>
      <c r="DK18" s="61">
        <v>3745</v>
      </c>
      <c r="DL18" s="61">
        <v>3845</v>
      </c>
      <c r="DM18" s="72"/>
      <c r="DN18" s="64"/>
      <c r="DO18" s="72"/>
      <c r="DP18" s="64">
        <v>1.32</v>
      </c>
      <c r="DQ18" s="72"/>
      <c r="DR18" s="64"/>
      <c r="DS18" s="70">
        <v>2.5</v>
      </c>
      <c r="DT18" s="36" t="s">
        <v>541</v>
      </c>
      <c r="DU18" s="66"/>
      <c r="DV18" s="62">
        <v>3990</v>
      </c>
      <c r="DW18" s="62"/>
      <c r="DX18" s="73">
        <v>40737</v>
      </c>
      <c r="DY18" s="114"/>
      <c r="DZ18" s="74" t="s">
        <v>600</v>
      </c>
      <c r="EA18" s="241" t="s">
        <v>599</v>
      </c>
    </row>
    <row r="19" spans="1:131" x14ac:dyDescent="0.4">
      <c r="A19" s="4" t="s">
        <v>57</v>
      </c>
      <c r="B19" s="5" t="s">
        <v>58</v>
      </c>
      <c r="C19" s="8">
        <v>51.224235</v>
      </c>
      <c r="D19" s="8">
        <v>5.1098689999999998</v>
      </c>
      <c r="E19" s="7" t="s">
        <v>46</v>
      </c>
      <c r="F19" s="5" t="s">
        <v>59</v>
      </c>
      <c r="G19" s="7" t="s">
        <v>60</v>
      </c>
      <c r="H19" s="4" t="s">
        <v>61</v>
      </c>
      <c r="I19" s="52"/>
      <c r="J19" s="53"/>
      <c r="K19" s="36"/>
      <c r="L19" s="38"/>
      <c r="M19" s="54"/>
      <c r="N19" s="55"/>
      <c r="O19" s="56"/>
      <c r="P19" s="59">
        <v>2.9999999999999999E-16</v>
      </c>
      <c r="Q19" s="36"/>
      <c r="R19" s="60">
        <f t="shared" si="0"/>
        <v>2.9999999999999999E-16</v>
      </c>
      <c r="S19" s="54"/>
      <c r="T19" s="55"/>
      <c r="U19" s="56"/>
      <c r="V19" s="55"/>
      <c r="W19" s="55"/>
      <c r="X19" s="56"/>
      <c r="Y19" s="54"/>
      <c r="Z19" s="56"/>
      <c r="AA19" s="54"/>
      <c r="AB19" s="56"/>
      <c r="AC19" s="54"/>
      <c r="AD19" s="56"/>
      <c r="AE19" s="54"/>
      <c r="AF19" s="56"/>
      <c r="AG19" s="55"/>
      <c r="AH19" s="56"/>
      <c r="AI19" s="54"/>
      <c r="AJ19" s="56"/>
      <c r="AK19" s="55"/>
      <c r="AL19" s="56"/>
      <c r="AM19" s="54"/>
      <c r="AN19" s="56"/>
      <c r="AO19" s="59"/>
      <c r="AP19" s="60"/>
      <c r="AQ19" s="61"/>
      <c r="AR19" s="62"/>
      <c r="AS19" s="38"/>
      <c r="AT19" s="63"/>
      <c r="AU19" s="64"/>
      <c r="AV19" s="64"/>
      <c r="AW19" s="53"/>
      <c r="AX19" s="65"/>
      <c r="AY19" s="64"/>
      <c r="AZ19" s="64"/>
      <c r="BA19" s="53"/>
      <c r="BB19" s="65"/>
      <c r="BC19" s="64"/>
      <c r="BD19" s="64"/>
      <c r="BE19" s="53"/>
      <c r="BF19" s="36"/>
      <c r="BG19" s="38"/>
      <c r="BH19" s="63"/>
      <c r="BI19" s="64"/>
      <c r="BJ19" s="64"/>
      <c r="BK19" s="53"/>
      <c r="BL19" s="66">
        <v>138</v>
      </c>
      <c r="BM19" s="62">
        <v>142</v>
      </c>
      <c r="BN19" s="37" t="s">
        <v>601</v>
      </c>
      <c r="BO19" s="38"/>
      <c r="BP19" s="36"/>
      <c r="BQ19" s="38"/>
      <c r="BR19" s="37"/>
      <c r="BS19" s="38"/>
      <c r="BT19" s="35"/>
      <c r="BU19" s="38" t="s">
        <v>552</v>
      </c>
      <c r="BV19" s="66"/>
      <c r="BW19" s="62"/>
      <c r="BX19" s="66"/>
      <c r="BY19" s="62"/>
      <c r="BZ19" s="67"/>
      <c r="CA19" s="61">
        <v>3460</v>
      </c>
      <c r="CB19" s="62"/>
      <c r="CC19" s="37"/>
      <c r="CD19" s="38"/>
      <c r="CE19" s="64">
        <v>0.1</v>
      </c>
      <c r="CF19" s="53"/>
      <c r="CG19" s="69">
        <v>9.8600000000000004E-14</v>
      </c>
      <c r="CH19" s="38"/>
      <c r="CI19" s="36"/>
      <c r="CJ19" s="38"/>
      <c r="CK19" s="37"/>
      <c r="CL19" s="38"/>
      <c r="CM19" s="36"/>
      <c r="CN19" s="38"/>
      <c r="CO19" s="37"/>
      <c r="CP19" s="38"/>
      <c r="CQ19" s="37"/>
      <c r="CR19" s="38"/>
      <c r="CS19" s="37"/>
      <c r="CT19" s="38"/>
      <c r="CU19" s="66">
        <v>3300</v>
      </c>
      <c r="CV19" s="61"/>
      <c r="CW19" s="35" t="s">
        <v>602</v>
      </c>
      <c r="CX19" s="68">
        <v>43435</v>
      </c>
      <c r="CY19" s="37" t="s">
        <v>603</v>
      </c>
      <c r="CZ19" s="35"/>
      <c r="DA19" s="60"/>
      <c r="DB19" s="69"/>
      <c r="DC19" s="60"/>
      <c r="DD19" s="69"/>
      <c r="DE19" s="60">
        <v>17000</v>
      </c>
      <c r="DF19" s="70">
        <v>11.4</v>
      </c>
      <c r="DG19" s="70"/>
      <c r="DH19" s="71">
        <v>43439</v>
      </c>
      <c r="DI19" s="117"/>
      <c r="DJ19" s="35" t="s">
        <v>604</v>
      </c>
      <c r="DK19" s="61">
        <v>3000</v>
      </c>
      <c r="DL19" s="118">
        <v>10000</v>
      </c>
      <c r="DM19" s="72"/>
      <c r="DN19" s="64"/>
      <c r="DO19" s="72"/>
      <c r="DP19" s="64"/>
      <c r="DQ19" s="72"/>
      <c r="DR19" s="64"/>
      <c r="DS19" s="70">
        <v>2.1</v>
      </c>
      <c r="DT19" s="36" t="s">
        <v>581</v>
      </c>
      <c r="DU19" s="66">
        <v>4000</v>
      </c>
      <c r="DV19" s="62"/>
      <c r="DW19" s="119"/>
      <c r="DX19" s="73">
        <v>43639</v>
      </c>
      <c r="DY19" s="4" t="s">
        <v>605</v>
      </c>
      <c r="DZ19" s="120"/>
      <c r="EA19" s="241" t="s">
        <v>606</v>
      </c>
    </row>
    <row r="20" spans="1:131" x14ac:dyDescent="0.4">
      <c r="A20" s="4" t="s">
        <v>62</v>
      </c>
      <c r="B20" s="5" t="s">
        <v>63</v>
      </c>
      <c r="C20" s="8">
        <v>13.524806</v>
      </c>
      <c r="D20" s="8">
        <v>-88.508645999999999</v>
      </c>
      <c r="E20" s="7" t="s">
        <v>46</v>
      </c>
      <c r="F20" s="5" t="s">
        <v>47</v>
      </c>
      <c r="G20" s="7" t="s">
        <v>64</v>
      </c>
      <c r="H20" s="4" t="s">
        <v>65</v>
      </c>
      <c r="I20" s="52"/>
      <c r="J20" s="53"/>
      <c r="K20" s="36">
        <v>2600</v>
      </c>
      <c r="L20" s="38"/>
      <c r="M20" s="54">
        <v>0.08</v>
      </c>
      <c r="N20" s="55">
        <v>0.15</v>
      </c>
      <c r="O20" s="56">
        <f>AVERAGE(M20,N20)</f>
        <v>0.11499999999999999</v>
      </c>
      <c r="P20" s="59">
        <v>1E-13</v>
      </c>
      <c r="Q20" s="59">
        <v>9.9999999999999998E-13</v>
      </c>
      <c r="R20" s="58">
        <f t="shared" si="0"/>
        <v>5.4999999999999998E-13</v>
      </c>
      <c r="S20" s="54"/>
      <c r="T20" s="55"/>
      <c r="U20" s="56"/>
      <c r="V20" s="55"/>
      <c r="W20" s="55"/>
      <c r="X20" s="56"/>
      <c r="Y20" s="54"/>
      <c r="Z20" s="56"/>
      <c r="AA20" s="54"/>
      <c r="AB20" s="56"/>
      <c r="AC20" s="54"/>
      <c r="AD20" s="56"/>
      <c r="AE20" s="54"/>
      <c r="AF20" s="56"/>
      <c r="AG20" s="55"/>
      <c r="AH20" s="56"/>
      <c r="AI20" s="54"/>
      <c r="AJ20" s="56"/>
      <c r="AK20" s="55"/>
      <c r="AL20" s="56"/>
      <c r="AM20" s="54">
        <v>3</v>
      </c>
      <c r="AN20" s="56"/>
      <c r="AO20" s="59"/>
      <c r="AP20" s="60"/>
      <c r="AQ20" s="61"/>
      <c r="AR20" s="62"/>
      <c r="AS20" s="38"/>
      <c r="AT20" s="63"/>
      <c r="AU20" s="64"/>
      <c r="AV20" s="64"/>
      <c r="AW20" s="53"/>
      <c r="AX20" s="65"/>
      <c r="AY20" s="64"/>
      <c r="AZ20" s="64"/>
      <c r="BA20" s="53"/>
      <c r="BB20" s="63"/>
      <c r="BC20" s="64"/>
      <c r="BD20" s="64"/>
      <c r="BE20" s="53"/>
      <c r="BF20" s="36"/>
      <c r="BG20" s="38"/>
      <c r="BH20" s="63"/>
      <c r="BI20" s="64"/>
      <c r="BJ20" s="64"/>
      <c r="BK20" s="53"/>
      <c r="BL20" s="66">
        <v>260</v>
      </c>
      <c r="BM20" s="62">
        <v>300</v>
      </c>
      <c r="BN20" s="37" t="s">
        <v>607</v>
      </c>
      <c r="BO20" s="38"/>
      <c r="BP20" s="36"/>
      <c r="BQ20" s="38"/>
      <c r="BR20" s="37"/>
      <c r="BS20" s="38"/>
      <c r="BT20" s="35"/>
      <c r="BU20" s="38"/>
      <c r="BV20" s="66"/>
      <c r="BW20" s="62"/>
      <c r="BX20" s="66"/>
      <c r="BY20" s="62"/>
      <c r="BZ20" s="67"/>
      <c r="CA20" s="61"/>
      <c r="CB20" s="62"/>
      <c r="CC20" s="37"/>
      <c r="CD20" s="38"/>
      <c r="CE20" s="64"/>
      <c r="CF20" s="53"/>
      <c r="CG20" s="37"/>
      <c r="CH20" s="38"/>
      <c r="CI20" s="36"/>
      <c r="CJ20" s="38"/>
      <c r="CK20" s="37"/>
      <c r="CL20" s="38"/>
      <c r="CM20" s="36"/>
      <c r="CN20" s="38"/>
      <c r="CO20" s="37"/>
      <c r="CP20" s="38"/>
      <c r="CQ20" s="37"/>
      <c r="CR20" s="38"/>
      <c r="CS20" s="37"/>
      <c r="CT20" s="38"/>
      <c r="CU20" s="66">
        <v>1800</v>
      </c>
      <c r="CV20" s="61">
        <v>2200</v>
      </c>
      <c r="CW20" s="35"/>
      <c r="CX20" s="68">
        <v>37803</v>
      </c>
      <c r="CY20" s="37" t="s">
        <v>608</v>
      </c>
      <c r="CZ20" s="35">
        <v>175</v>
      </c>
      <c r="DA20" s="60">
        <v>0.14000000000000001</v>
      </c>
      <c r="DB20" s="69">
        <v>300000</v>
      </c>
      <c r="DC20" s="60"/>
      <c r="DD20" s="69"/>
      <c r="DE20" s="60"/>
      <c r="DF20" s="70"/>
      <c r="DG20" s="70"/>
      <c r="DH20" s="71"/>
      <c r="DI20" s="64"/>
      <c r="DJ20" s="35"/>
      <c r="DK20" s="61"/>
      <c r="DL20" s="61"/>
      <c r="DM20" s="72"/>
      <c r="DN20" s="64"/>
      <c r="DO20" s="72"/>
      <c r="DP20" s="64"/>
      <c r="DQ20" s="72"/>
      <c r="DR20" s="64"/>
      <c r="DS20" s="70">
        <v>4.4000000000000004</v>
      </c>
      <c r="DT20" s="36" t="s">
        <v>581</v>
      </c>
      <c r="DU20" s="66"/>
      <c r="DV20" s="62">
        <v>1834.9</v>
      </c>
      <c r="DW20" s="62">
        <v>3000</v>
      </c>
      <c r="DX20" s="73">
        <v>37880</v>
      </c>
      <c r="DY20" s="114"/>
      <c r="DZ20" s="74" t="s">
        <v>609</v>
      </c>
      <c r="EA20" s="241" t="s">
        <v>610</v>
      </c>
    </row>
    <row r="21" spans="1:131" x14ac:dyDescent="0.4">
      <c r="A21" s="4" t="s">
        <v>66</v>
      </c>
      <c r="B21" s="5" t="s">
        <v>67</v>
      </c>
      <c r="C21" s="6">
        <v>60.188395999999997</v>
      </c>
      <c r="D21" s="6">
        <v>24.827842</v>
      </c>
      <c r="E21" s="7" t="s">
        <v>46</v>
      </c>
      <c r="F21" s="5" t="s">
        <v>68</v>
      </c>
      <c r="G21" s="7" t="s">
        <v>69</v>
      </c>
      <c r="H21" s="4" t="s">
        <v>70</v>
      </c>
      <c r="I21" s="52"/>
      <c r="J21" s="53"/>
      <c r="K21" s="36"/>
      <c r="L21" s="38"/>
      <c r="M21" s="54"/>
      <c r="N21" s="55"/>
      <c r="O21" s="56"/>
      <c r="P21" s="59"/>
      <c r="Q21" s="59"/>
      <c r="R21" s="60"/>
      <c r="S21" s="54"/>
      <c r="T21" s="55"/>
      <c r="U21" s="56"/>
      <c r="V21" s="55"/>
      <c r="W21" s="55"/>
      <c r="X21" s="56"/>
      <c r="Y21" s="54"/>
      <c r="Z21" s="56">
        <v>58.1</v>
      </c>
      <c r="AA21" s="54"/>
      <c r="AB21" s="56">
        <v>39.200000000000003</v>
      </c>
      <c r="AC21" s="54"/>
      <c r="AD21" s="56"/>
      <c r="AE21" s="54"/>
      <c r="AF21" s="56"/>
      <c r="AG21" s="55"/>
      <c r="AH21" s="56"/>
      <c r="AI21" s="54"/>
      <c r="AJ21" s="56"/>
      <c r="AK21" s="55"/>
      <c r="AL21" s="56"/>
      <c r="AM21" s="54"/>
      <c r="AN21" s="56"/>
      <c r="AO21" s="59"/>
      <c r="AP21" s="60"/>
      <c r="AQ21" s="61"/>
      <c r="AR21" s="62"/>
      <c r="AS21" s="38" t="s">
        <v>535</v>
      </c>
      <c r="AT21" s="63">
        <v>2.9499999999999998E-2</v>
      </c>
      <c r="AU21" s="64">
        <v>0</v>
      </c>
      <c r="AV21" s="64">
        <v>180</v>
      </c>
      <c r="AW21" s="53"/>
      <c r="AX21" s="65">
        <v>3.9300000000000002E-2</v>
      </c>
      <c r="AY21" s="64">
        <v>0</v>
      </c>
      <c r="AZ21" s="64">
        <v>240</v>
      </c>
      <c r="BA21" s="53"/>
      <c r="BB21" s="63">
        <v>1.7999999999999999E-2</v>
      </c>
      <c r="BC21" s="64">
        <v>0</v>
      </c>
      <c r="BD21" s="64">
        <v>110</v>
      </c>
      <c r="BE21" s="53"/>
      <c r="BF21" s="36" t="s">
        <v>611</v>
      </c>
      <c r="BG21" s="38" t="s">
        <v>612</v>
      </c>
      <c r="BH21" s="63">
        <v>9.7999999999999997E-3</v>
      </c>
      <c r="BI21" s="64">
        <v>0</v>
      </c>
      <c r="BJ21" s="64">
        <v>60</v>
      </c>
      <c r="BK21" s="53"/>
      <c r="BL21" s="66">
        <v>120</v>
      </c>
      <c r="BM21" s="62">
        <v>130</v>
      </c>
      <c r="BN21" s="109" t="s">
        <v>613</v>
      </c>
      <c r="BO21" s="38" t="s">
        <v>614</v>
      </c>
      <c r="BP21" s="36"/>
      <c r="BQ21" s="38"/>
      <c r="BR21" s="37"/>
      <c r="BS21" s="38"/>
      <c r="BT21" s="35"/>
      <c r="BU21" s="38" t="s">
        <v>535</v>
      </c>
      <c r="BV21" s="66"/>
      <c r="BW21" s="62"/>
      <c r="BX21" s="66"/>
      <c r="BY21" s="62"/>
      <c r="BZ21" s="67"/>
      <c r="CA21" s="61"/>
      <c r="CB21" s="62"/>
      <c r="CC21" s="37"/>
      <c r="CD21" s="38"/>
      <c r="CE21" s="64"/>
      <c r="CF21" s="53"/>
      <c r="CG21" s="69"/>
      <c r="CH21" s="38"/>
      <c r="CI21" s="36"/>
      <c r="CJ21" s="38"/>
      <c r="CK21" s="37"/>
      <c r="CL21" s="38"/>
      <c r="CM21" s="36"/>
      <c r="CN21" s="38"/>
      <c r="CO21" s="37"/>
      <c r="CP21" s="38"/>
      <c r="CQ21" s="37"/>
      <c r="CR21" s="38"/>
      <c r="CS21" s="37"/>
      <c r="CT21" s="38"/>
      <c r="CU21" s="66">
        <v>5700</v>
      </c>
      <c r="CV21" s="61">
        <v>6100</v>
      </c>
      <c r="CW21" s="35" t="s">
        <v>266</v>
      </c>
      <c r="CX21" s="68">
        <v>43255</v>
      </c>
      <c r="CY21" s="37" t="s">
        <v>615</v>
      </c>
      <c r="CZ21" s="35"/>
      <c r="DA21" s="60">
        <v>1.3299999999999999E-2</v>
      </c>
      <c r="DB21" s="69">
        <v>18540</v>
      </c>
      <c r="DC21" s="60"/>
      <c r="DD21" s="69"/>
      <c r="DE21" s="60">
        <v>18160</v>
      </c>
      <c r="DF21" s="70">
        <v>90</v>
      </c>
      <c r="DG21" s="70"/>
      <c r="DH21" s="71"/>
      <c r="DI21" s="64"/>
      <c r="DJ21" s="35" t="s">
        <v>616</v>
      </c>
      <c r="DK21" s="61">
        <v>4800</v>
      </c>
      <c r="DL21" s="61">
        <v>6400</v>
      </c>
      <c r="DM21" s="72"/>
      <c r="DN21" s="64"/>
      <c r="DO21" s="72"/>
      <c r="DP21" s="64">
        <v>1.35</v>
      </c>
      <c r="DQ21" s="72"/>
      <c r="DR21" s="64"/>
      <c r="DS21" s="70">
        <v>1.8</v>
      </c>
      <c r="DT21" s="36" t="s">
        <v>581</v>
      </c>
      <c r="DU21" s="66"/>
      <c r="DV21" s="62">
        <v>6100</v>
      </c>
      <c r="DW21" s="62">
        <v>200</v>
      </c>
      <c r="DX21" s="73">
        <v>43289</v>
      </c>
      <c r="DY21" s="121" t="s">
        <v>617</v>
      </c>
      <c r="DZ21" s="74" t="s">
        <v>618</v>
      </c>
      <c r="EA21" s="241" t="s">
        <v>619</v>
      </c>
    </row>
    <row r="22" spans="1:131" x14ac:dyDescent="0.4">
      <c r="A22" s="4" t="s">
        <v>71</v>
      </c>
      <c r="B22" s="5" t="s">
        <v>72</v>
      </c>
      <c r="C22" s="6">
        <v>48.661650999999999</v>
      </c>
      <c r="D22" s="6">
        <v>7.8164199999999999</v>
      </c>
      <c r="E22" s="7" t="s">
        <v>46</v>
      </c>
      <c r="F22" s="5" t="s">
        <v>73</v>
      </c>
      <c r="G22" s="15"/>
      <c r="H22" s="4" t="s">
        <v>49</v>
      </c>
      <c r="I22" s="52"/>
      <c r="J22" s="53"/>
      <c r="K22" s="122"/>
      <c r="L22" s="38"/>
      <c r="M22" s="123"/>
      <c r="N22" s="124"/>
      <c r="O22" s="125"/>
      <c r="P22" s="122"/>
      <c r="Q22" s="122"/>
      <c r="R22" s="38"/>
      <c r="S22" s="123"/>
      <c r="T22" s="124"/>
      <c r="U22" s="56"/>
      <c r="V22" s="124"/>
      <c r="W22" s="124"/>
      <c r="X22" s="125"/>
      <c r="Y22" s="123"/>
      <c r="Z22" s="125"/>
      <c r="AA22" s="123"/>
      <c r="AB22" s="125"/>
      <c r="AC22" s="123"/>
      <c r="AD22" s="125"/>
      <c r="AE22" s="123"/>
      <c r="AF22" s="125"/>
      <c r="AG22" s="124"/>
      <c r="AH22" s="56"/>
      <c r="AI22" s="54"/>
      <c r="AJ22" s="56"/>
      <c r="AK22" s="55"/>
      <c r="AL22" s="56"/>
      <c r="AM22" s="54"/>
      <c r="AN22" s="56"/>
      <c r="AO22" s="59"/>
      <c r="AP22" s="60"/>
      <c r="AQ22" s="61"/>
      <c r="AR22" s="62"/>
      <c r="AS22" s="38" t="s">
        <v>620</v>
      </c>
      <c r="AT22" s="63">
        <v>2.5499999999999998E-2</v>
      </c>
      <c r="AU22" s="64">
        <v>-1.3</v>
      </c>
      <c r="AV22" s="64">
        <f>AT22*CU22+AU22</f>
        <v>62.449999999999996</v>
      </c>
      <c r="AW22" s="53">
        <f>AT22*CV22+AU22</f>
        <v>113.44999999999999</v>
      </c>
      <c r="AX22" s="65">
        <v>2.2950000000000002E-2</v>
      </c>
      <c r="AY22" s="64">
        <v>-1.17</v>
      </c>
      <c r="AZ22" s="64">
        <f>AX22*CU22+AY22</f>
        <v>56.205000000000005</v>
      </c>
      <c r="BA22" s="53">
        <f>AX22*CV22+AY22</f>
        <v>102.105</v>
      </c>
      <c r="BB22" s="63">
        <v>1.409E-2</v>
      </c>
      <c r="BC22" s="64">
        <v>-1.78</v>
      </c>
      <c r="BD22" s="64">
        <f>BB22*CU22+BC22</f>
        <v>33.445</v>
      </c>
      <c r="BE22" s="53">
        <f>BB22*CV22+BC22</f>
        <v>61.625</v>
      </c>
      <c r="BF22" s="126" t="s">
        <v>621</v>
      </c>
      <c r="BG22" s="38"/>
      <c r="BH22" s="63"/>
      <c r="BI22" s="64"/>
      <c r="BJ22" s="64"/>
      <c r="BK22" s="53"/>
      <c r="BL22" s="66">
        <v>200</v>
      </c>
      <c r="BM22" s="62"/>
      <c r="BN22" s="37" t="s">
        <v>622</v>
      </c>
      <c r="BO22" s="38"/>
      <c r="BP22" s="36"/>
      <c r="BQ22" s="38"/>
      <c r="BR22" s="37"/>
      <c r="BS22" s="38"/>
      <c r="BT22" s="35" t="s">
        <v>623</v>
      </c>
      <c r="BU22" s="38"/>
      <c r="BV22" s="66"/>
      <c r="BW22" s="62"/>
      <c r="BX22" s="66"/>
      <c r="BY22" s="62"/>
      <c r="BZ22" s="67"/>
      <c r="CA22" s="61"/>
      <c r="CB22" s="62"/>
      <c r="CC22" s="127"/>
      <c r="CD22" s="128"/>
      <c r="CE22" s="129"/>
      <c r="CF22" s="130"/>
      <c r="CG22" s="127"/>
      <c r="CH22" s="38"/>
      <c r="CI22" s="36"/>
      <c r="CJ22" s="38"/>
      <c r="CK22" s="37"/>
      <c r="CL22" s="38"/>
      <c r="CM22" s="36">
        <v>9</v>
      </c>
      <c r="CN22" s="38"/>
      <c r="CO22" s="127"/>
      <c r="CP22" s="128"/>
      <c r="CQ22" s="127"/>
      <c r="CR22" s="128"/>
      <c r="CS22" s="127"/>
      <c r="CT22" s="38"/>
      <c r="CU22" s="66">
        <v>2500</v>
      </c>
      <c r="CV22" s="61">
        <v>4500</v>
      </c>
      <c r="CW22" s="35" t="s">
        <v>624</v>
      </c>
      <c r="CX22" s="68">
        <v>44075</v>
      </c>
      <c r="CY22" s="37"/>
      <c r="CZ22" s="35"/>
      <c r="DA22" s="60"/>
      <c r="DB22" s="69"/>
      <c r="DC22" s="60"/>
      <c r="DD22" s="69"/>
      <c r="DE22" s="60"/>
      <c r="DF22" s="70"/>
      <c r="DG22" s="70"/>
      <c r="DH22" s="71">
        <v>44075</v>
      </c>
      <c r="DI22" s="117"/>
      <c r="DJ22" s="35" t="s">
        <v>625</v>
      </c>
      <c r="DK22" s="61">
        <v>3000</v>
      </c>
      <c r="DL22" s="61">
        <v>7000</v>
      </c>
      <c r="DM22" s="72"/>
      <c r="DN22" s="64"/>
      <c r="DO22" s="72"/>
      <c r="DP22" s="64">
        <v>0.86</v>
      </c>
      <c r="DQ22" s="72"/>
      <c r="DR22" s="64"/>
      <c r="DS22" s="70">
        <v>3.6</v>
      </c>
      <c r="DT22" s="36" t="s">
        <v>626</v>
      </c>
      <c r="DU22" s="66"/>
      <c r="DV22" s="62"/>
      <c r="DW22" s="62">
        <v>1000</v>
      </c>
      <c r="DX22" s="73">
        <v>44169</v>
      </c>
      <c r="DY22" s="4"/>
      <c r="DZ22" s="74" t="s">
        <v>627</v>
      </c>
      <c r="EA22" s="241" t="s">
        <v>628</v>
      </c>
    </row>
    <row r="23" spans="1:131" x14ac:dyDescent="0.4">
      <c r="A23" s="4" t="s">
        <v>71</v>
      </c>
      <c r="B23" s="5" t="s">
        <v>74</v>
      </c>
      <c r="C23" s="8">
        <v>48.896791</v>
      </c>
      <c r="D23" s="8">
        <v>7.9385180000000002</v>
      </c>
      <c r="E23" s="7" t="s">
        <v>46</v>
      </c>
      <c r="F23" s="5" t="s">
        <v>47</v>
      </c>
      <c r="G23" s="7"/>
      <c r="H23" s="4" t="s">
        <v>75</v>
      </c>
      <c r="I23" s="52"/>
      <c r="J23" s="53"/>
      <c r="K23" s="36">
        <v>2500</v>
      </c>
      <c r="L23" s="38">
        <v>2800</v>
      </c>
      <c r="M23" s="54">
        <v>1.2999999999999999E-3</v>
      </c>
      <c r="N23" s="55">
        <v>0.2555</v>
      </c>
      <c r="O23" s="56">
        <f>AVERAGE(M23,N23)</f>
        <v>0.12840000000000001</v>
      </c>
      <c r="P23" s="59">
        <v>9.9999999999999995E-21</v>
      </c>
      <c r="Q23" s="59">
        <v>2.9999999999999998E-14</v>
      </c>
      <c r="R23" s="60">
        <f>AVERAGE(P23,Q23)</f>
        <v>1.5000004999999998E-14</v>
      </c>
      <c r="S23" s="54">
        <v>25</v>
      </c>
      <c r="T23" s="55">
        <v>80</v>
      </c>
      <c r="U23" s="56">
        <f>AVERAGE(S23,T23)</f>
        <v>52.5</v>
      </c>
      <c r="V23" s="55">
        <v>0.1</v>
      </c>
      <c r="W23" s="55">
        <v>0.38</v>
      </c>
      <c r="X23" s="56">
        <f>AVERAGE(V23,W23)</f>
        <v>0.24</v>
      </c>
      <c r="Y23" s="54">
        <v>10.42</v>
      </c>
      <c r="Z23" s="56">
        <v>111</v>
      </c>
      <c r="AA23" s="54">
        <v>11.36</v>
      </c>
      <c r="AB23" s="56">
        <v>29</v>
      </c>
      <c r="AC23" s="54">
        <v>0.27</v>
      </c>
      <c r="AD23" s="56">
        <v>0.45</v>
      </c>
      <c r="AE23" s="54"/>
      <c r="AF23" s="56"/>
      <c r="AG23" s="55"/>
      <c r="AH23" s="56"/>
      <c r="AI23" s="54"/>
      <c r="AJ23" s="56"/>
      <c r="AK23" s="55"/>
      <c r="AL23" s="56"/>
      <c r="AM23" s="54">
        <v>2.2999999999999998</v>
      </c>
      <c r="AN23" s="56">
        <v>4.3</v>
      </c>
      <c r="AO23" s="59"/>
      <c r="AP23" s="60"/>
      <c r="AQ23" s="61">
        <v>2200</v>
      </c>
      <c r="AR23" s="62"/>
      <c r="AS23" s="38" t="s">
        <v>620</v>
      </c>
      <c r="AT23" s="63">
        <v>2.5499999999999998E-2</v>
      </c>
      <c r="AU23" s="64">
        <v>-1.3</v>
      </c>
      <c r="AV23" s="64"/>
      <c r="AW23" s="53"/>
      <c r="AX23" s="65">
        <v>2.2950000000000002E-2</v>
      </c>
      <c r="AY23" s="64">
        <v>-1.17</v>
      </c>
      <c r="AZ23" s="64"/>
      <c r="BA23" s="53"/>
      <c r="BB23" s="63">
        <v>1.409E-2</v>
      </c>
      <c r="BC23" s="64">
        <v>-1.78</v>
      </c>
      <c r="BD23" s="64"/>
      <c r="BE23" s="53"/>
      <c r="BF23" s="36" t="s">
        <v>629</v>
      </c>
      <c r="BG23" s="38"/>
      <c r="BH23" s="63"/>
      <c r="BI23" s="64"/>
      <c r="BJ23" s="64"/>
      <c r="BK23" s="53"/>
      <c r="BL23" s="66">
        <v>170</v>
      </c>
      <c r="BM23" s="62"/>
      <c r="BN23" s="37" t="s">
        <v>630</v>
      </c>
      <c r="BO23" s="38" t="s">
        <v>631</v>
      </c>
      <c r="BP23" s="36"/>
      <c r="BQ23" s="38"/>
      <c r="BR23" s="37"/>
      <c r="BS23" s="38"/>
      <c r="BT23" s="35"/>
      <c r="BU23" s="38"/>
      <c r="BV23" s="66"/>
      <c r="BW23" s="62"/>
      <c r="BX23" s="66"/>
      <c r="BY23" s="62"/>
      <c r="BZ23" s="67"/>
      <c r="CA23" s="61"/>
      <c r="CB23" s="62"/>
      <c r="CC23" s="37"/>
      <c r="CD23" s="38"/>
      <c r="CE23" s="64"/>
      <c r="CF23" s="53"/>
      <c r="CG23" s="37"/>
      <c r="CH23" s="38"/>
      <c r="CI23" s="36"/>
      <c r="CJ23" s="38"/>
      <c r="CK23" s="37"/>
      <c r="CL23" s="38"/>
      <c r="CM23" s="36"/>
      <c r="CN23" s="38"/>
      <c r="CO23" s="37"/>
      <c r="CP23" s="38"/>
      <c r="CQ23" s="37"/>
      <c r="CR23" s="38"/>
      <c r="CS23" s="37"/>
      <c r="CT23" s="38"/>
      <c r="CU23" s="66">
        <v>2580</v>
      </c>
      <c r="CV23" s="61"/>
      <c r="CW23" s="35"/>
      <c r="CX23" s="68">
        <v>41426</v>
      </c>
      <c r="CY23" s="37"/>
      <c r="CZ23" s="35"/>
      <c r="DA23" s="60"/>
      <c r="DB23" s="69"/>
      <c r="DC23" s="60"/>
      <c r="DD23" s="69"/>
      <c r="DE23" s="60"/>
      <c r="DF23" s="70"/>
      <c r="DG23" s="70"/>
      <c r="DH23" s="71">
        <v>41452</v>
      </c>
      <c r="DI23" s="64"/>
      <c r="DJ23" s="35">
        <v>174</v>
      </c>
      <c r="DK23" s="61">
        <v>2000</v>
      </c>
      <c r="DL23" s="61">
        <v>4000</v>
      </c>
      <c r="DM23" s="72"/>
      <c r="DN23" s="64"/>
      <c r="DO23" s="72"/>
      <c r="DP23" s="64"/>
      <c r="DQ23" s="72"/>
      <c r="DR23" s="64"/>
      <c r="DS23" s="70">
        <v>1.6</v>
      </c>
      <c r="DT23" s="36" t="s">
        <v>632</v>
      </c>
      <c r="DU23" s="66"/>
      <c r="DV23" s="62"/>
      <c r="DW23" s="62"/>
      <c r="DX23" s="73">
        <v>41457</v>
      </c>
      <c r="DY23" s="114"/>
      <c r="DZ23" s="74" t="s">
        <v>633</v>
      </c>
      <c r="EA23" s="241" t="s">
        <v>634</v>
      </c>
    </row>
    <row r="24" spans="1:131" x14ac:dyDescent="0.4">
      <c r="A24" s="4" t="s">
        <v>71</v>
      </c>
      <c r="B24" s="5" t="s">
        <v>76</v>
      </c>
      <c r="C24" s="6">
        <v>48.62</v>
      </c>
      <c r="D24" s="6">
        <v>7.8</v>
      </c>
      <c r="E24" s="7" t="s">
        <v>46</v>
      </c>
      <c r="F24" s="5" t="s">
        <v>73</v>
      </c>
      <c r="G24" s="15"/>
      <c r="H24" s="4" t="s">
        <v>49</v>
      </c>
      <c r="I24" s="52"/>
      <c r="J24" s="53"/>
      <c r="K24" s="122"/>
      <c r="L24" s="38"/>
      <c r="M24" s="123"/>
      <c r="N24" s="124"/>
      <c r="O24" s="125"/>
      <c r="P24" s="122"/>
      <c r="Q24" s="122"/>
      <c r="R24" s="38"/>
      <c r="S24" s="123"/>
      <c r="T24" s="124"/>
      <c r="U24" s="56"/>
      <c r="V24" s="124"/>
      <c r="W24" s="124"/>
      <c r="X24" s="125"/>
      <c r="Y24" s="123"/>
      <c r="Z24" s="125"/>
      <c r="AA24" s="123"/>
      <c r="AB24" s="125"/>
      <c r="AC24" s="123"/>
      <c r="AD24" s="125"/>
      <c r="AE24" s="123"/>
      <c r="AF24" s="125"/>
      <c r="AG24" s="124"/>
      <c r="AH24" s="56"/>
      <c r="AI24" s="54"/>
      <c r="AJ24" s="56"/>
      <c r="AK24" s="55"/>
      <c r="AL24" s="56"/>
      <c r="AM24" s="54"/>
      <c r="AN24" s="56"/>
      <c r="AO24" s="59"/>
      <c r="AP24" s="60"/>
      <c r="AQ24" s="61"/>
      <c r="AR24" s="62"/>
      <c r="AS24" s="38" t="s">
        <v>620</v>
      </c>
      <c r="AT24" s="63">
        <v>2.5499999999999998E-2</v>
      </c>
      <c r="AU24" s="64">
        <v>-1.3</v>
      </c>
      <c r="AV24" s="64">
        <f>AT24*CU24+AU24</f>
        <v>62.449999999999996</v>
      </c>
      <c r="AW24" s="53">
        <f>AT24*CV24+AU24</f>
        <v>113.44999999999999</v>
      </c>
      <c r="AX24" s="65">
        <v>2.2950000000000002E-2</v>
      </c>
      <c r="AY24" s="64">
        <v>-1.17</v>
      </c>
      <c r="AZ24" s="64">
        <f>AX24*CU24+AY24</f>
        <v>56.205000000000005</v>
      </c>
      <c r="BA24" s="53">
        <f>AX24*CV24+AY24</f>
        <v>102.105</v>
      </c>
      <c r="BB24" s="63">
        <v>1.409E-2</v>
      </c>
      <c r="BC24" s="64">
        <v>-1.78</v>
      </c>
      <c r="BD24" s="64">
        <f>BB24*CU24+BC24</f>
        <v>33.445</v>
      </c>
      <c r="BE24" s="53">
        <f>BB24*CV24+BC24</f>
        <v>61.625</v>
      </c>
      <c r="BF24" s="126" t="s">
        <v>621</v>
      </c>
      <c r="BG24" s="38"/>
      <c r="BH24" s="63"/>
      <c r="BI24" s="64"/>
      <c r="BJ24" s="64"/>
      <c r="BK24" s="53"/>
      <c r="BL24" s="66">
        <v>200</v>
      </c>
      <c r="BM24" s="62"/>
      <c r="BN24" s="37" t="s">
        <v>635</v>
      </c>
      <c r="BO24" s="38"/>
      <c r="BP24" s="36"/>
      <c r="BQ24" s="38">
        <v>85</v>
      </c>
      <c r="BR24" s="37"/>
      <c r="BS24" s="38" t="s">
        <v>636</v>
      </c>
      <c r="BT24" s="35" t="s">
        <v>623</v>
      </c>
      <c r="BU24" s="38"/>
      <c r="BV24" s="66"/>
      <c r="BW24" s="62"/>
      <c r="BX24" s="66"/>
      <c r="BY24" s="62"/>
      <c r="BZ24" s="67"/>
      <c r="CA24" s="61"/>
      <c r="CB24" s="62"/>
      <c r="CC24" s="127"/>
      <c r="CD24" s="128"/>
      <c r="CE24" s="129"/>
      <c r="CF24" s="130"/>
      <c r="CG24" s="127"/>
      <c r="CH24" s="38"/>
      <c r="CI24" s="36"/>
      <c r="CJ24" s="38"/>
      <c r="CK24" s="37"/>
      <c r="CL24" s="38"/>
      <c r="CM24" s="122"/>
      <c r="CN24" s="38"/>
      <c r="CO24" s="127"/>
      <c r="CP24" s="128"/>
      <c r="CQ24" s="127"/>
      <c r="CR24" s="128"/>
      <c r="CS24" s="127"/>
      <c r="CT24" s="38"/>
      <c r="CU24" s="66">
        <v>2500</v>
      </c>
      <c r="CV24" s="61">
        <v>4500</v>
      </c>
      <c r="CW24" s="35" t="s">
        <v>624</v>
      </c>
      <c r="CX24" s="68">
        <v>43771</v>
      </c>
      <c r="CY24" s="37"/>
      <c r="CZ24" s="35"/>
      <c r="DA24" s="60">
        <v>9.7199999999999995E-2</v>
      </c>
      <c r="DB24" s="69"/>
      <c r="DC24" s="60"/>
      <c r="DD24" s="69"/>
      <c r="DE24" s="60"/>
      <c r="DF24" s="70"/>
      <c r="DG24" s="70"/>
      <c r="DH24" s="71">
        <v>43773</v>
      </c>
      <c r="DI24" s="129">
        <v>2</v>
      </c>
      <c r="DJ24" s="35">
        <v>39</v>
      </c>
      <c r="DK24" s="61">
        <v>3000</v>
      </c>
      <c r="DL24" s="61">
        <v>7000</v>
      </c>
      <c r="DM24" s="72"/>
      <c r="DN24" s="64"/>
      <c r="DO24" s="72"/>
      <c r="DP24" s="64">
        <v>0.97</v>
      </c>
      <c r="DQ24" s="72"/>
      <c r="DR24" s="64"/>
      <c r="DS24" s="70">
        <v>3.1</v>
      </c>
      <c r="DT24" s="36" t="s">
        <v>626</v>
      </c>
      <c r="DU24" s="66">
        <v>5620</v>
      </c>
      <c r="DV24" s="62"/>
      <c r="DW24" s="62">
        <v>4600</v>
      </c>
      <c r="DX24" s="73">
        <v>43781</v>
      </c>
      <c r="DY24" s="4"/>
      <c r="DZ24" s="74" t="s">
        <v>772</v>
      </c>
      <c r="EA24" s="241" t="s">
        <v>638</v>
      </c>
    </row>
    <row r="25" spans="1:131" x14ac:dyDescent="0.4">
      <c r="A25" s="4" t="s">
        <v>71</v>
      </c>
      <c r="B25" s="5" t="s">
        <v>77</v>
      </c>
      <c r="C25" s="8">
        <v>48.93092</v>
      </c>
      <c r="D25" s="8">
        <v>7.8666910000000003</v>
      </c>
      <c r="E25" s="7" t="s">
        <v>46</v>
      </c>
      <c r="F25" s="5" t="s">
        <v>68</v>
      </c>
      <c r="G25" s="7" t="s">
        <v>78</v>
      </c>
      <c r="H25" s="4" t="s">
        <v>49</v>
      </c>
      <c r="I25" s="52">
        <v>0.45</v>
      </c>
      <c r="J25" s="53">
        <v>0.45</v>
      </c>
      <c r="K25" s="36">
        <v>2639</v>
      </c>
      <c r="L25" s="38">
        <v>2696</v>
      </c>
      <c r="M25" s="54">
        <v>1.1999999999999999E-3</v>
      </c>
      <c r="N25" s="55">
        <v>3.0000000000000001E-3</v>
      </c>
      <c r="O25" s="56">
        <f>AVERAGE(M25,N25)</f>
        <v>2.0999999999999999E-3</v>
      </c>
      <c r="P25" s="59">
        <v>8.6000000000000005E-18</v>
      </c>
      <c r="Q25" s="59">
        <v>9.6000000000000002E-16</v>
      </c>
      <c r="R25" s="60">
        <f t="shared" ref="R25:R32" si="6">AVERAGE(P25,Q25)</f>
        <v>4.843E-16</v>
      </c>
      <c r="S25" s="54">
        <v>40</v>
      </c>
      <c r="T25" s="55">
        <v>54</v>
      </c>
      <c r="U25" s="56">
        <v>47</v>
      </c>
      <c r="V25" s="55"/>
      <c r="W25" s="55">
        <v>0.255</v>
      </c>
      <c r="X25" s="56">
        <v>0.255</v>
      </c>
      <c r="Y25" s="54">
        <f>S25/(3*(1-2*V25))</f>
        <v>13.333333333333334</v>
      </c>
      <c r="Z25" s="56">
        <f>T25/(3*(1-2*W25))</f>
        <v>36.734693877551024</v>
      </c>
      <c r="AA25" s="54">
        <f>S25/(2*(1+V25))</f>
        <v>20</v>
      </c>
      <c r="AB25" s="56">
        <f>T25/(2*(1+W25))</f>
        <v>21.513944223107572</v>
      </c>
      <c r="AC25" s="54"/>
      <c r="AD25" s="56"/>
      <c r="AE25" s="54">
        <v>46</v>
      </c>
      <c r="AF25" s="56"/>
      <c r="AG25" s="55">
        <v>46.6</v>
      </c>
      <c r="AH25" s="56"/>
      <c r="AI25" s="54">
        <v>140</v>
      </c>
      <c r="AJ25" s="56"/>
      <c r="AK25" s="55">
        <v>24</v>
      </c>
      <c r="AL25" s="56">
        <v>31</v>
      </c>
      <c r="AM25" s="54">
        <v>2.2999999999999998</v>
      </c>
      <c r="AN25" s="56">
        <v>3.9</v>
      </c>
      <c r="AO25" s="59"/>
      <c r="AP25" s="60"/>
      <c r="AQ25" s="61"/>
      <c r="AR25" s="62"/>
      <c r="AS25" s="38" t="s">
        <v>620</v>
      </c>
      <c r="AT25" s="63"/>
      <c r="AU25" s="64"/>
      <c r="AV25" s="64">
        <f>0.0251*2850</f>
        <v>71.534999999999997</v>
      </c>
      <c r="AW25" s="53">
        <f>0.0251*3500</f>
        <v>87.850000000000009</v>
      </c>
      <c r="AX25" s="65"/>
      <c r="AY25" s="64"/>
      <c r="AZ25" s="64">
        <f>-25.3+0.0336*2850</f>
        <v>70.459999999999994</v>
      </c>
      <c r="BA25" s="53">
        <f>-25.3+0.0336*3500</f>
        <v>92.3</v>
      </c>
      <c r="BB25" s="63"/>
      <c r="BC25" s="64"/>
      <c r="BD25" s="64">
        <f>0.013*2850</f>
        <v>37.049999999999997</v>
      </c>
      <c r="BE25" s="53">
        <f>0.013*3500</f>
        <v>45.5</v>
      </c>
      <c r="BF25" s="36"/>
      <c r="BG25" s="38" t="s">
        <v>639</v>
      </c>
      <c r="BH25" s="63"/>
      <c r="BI25" s="64"/>
      <c r="BJ25" s="64">
        <f>0.01*2850</f>
        <v>28.5</v>
      </c>
      <c r="BK25" s="53">
        <f>0.01*3500</f>
        <v>35</v>
      </c>
      <c r="BL25" s="66">
        <v>155</v>
      </c>
      <c r="BM25" s="62">
        <v>202</v>
      </c>
      <c r="BN25" s="127" t="s">
        <v>640</v>
      </c>
      <c r="BO25" s="100" t="s">
        <v>641</v>
      </c>
      <c r="BP25" s="36"/>
      <c r="BQ25" s="38"/>
      <c r="BR25" s="37"/>
      <c r="BS25" s="38"/>
      <c r="BT25" s="35"/>
      <c r="BU25" s="38"/>
      <c r="BV25" s="66"/>
      <c r="BW25" s="62"/>
      <c r="BX25" s="66"/>
      <c r="BY25" s="62"/>
      <c r="BZ25" s="67"/>
      <c r="CA25" s="61"/>
      <c r="CB25" s="62"/>
      <c r="CC25" s="37"/>
      <c r="CD25" s="38"/>
      <c r="CE25" s="64"/>
      <c r="CF25" s="53">
        <v>0.15</v>
      </c>
      <c r="CG25" s="59">
        <v>1E-14</v>
      </c>
      <c r="CH25" s="38"/>
      <c r="CI25" s="36"/>
      <c r="CJ25" s="38"/>
      <c r="CK25" s="37"/>
      <c r="CL25" s="38"/>
      <c r="CM25" s="36"/>
      <c r="CN25" s="38"/>
      <c r="CO25" s="37"/>
      <c r="CP25" s="38"/>
      <c r="CQ25" s="37"/>
      <c r="CR25" s="38"/>
      <c r="CS25" s="37"/>
      <c r="CT25" s="38"/>
      <c r="CU25" s="66">
        <v>3000</v>
      </c>
      <c r="CV25" s="61">
        <v>3500</v>
      </c>
      <c r="CW25" s="35" t="s">
        <v>642</v>
      </c>
      <c r="CX25" s="68">
        <v>34213</v>
      </c>
      <c r="CY25" s="37"/>
      <c r="CZ25" s="35">
        <v>40</v>
      </c>
      <c r="DA25" s="60">
        <v>3.5999999999999997E-2</v>
      </c>
      <c r="DB25" s="69">
        <v>23000</v>
      </c>
      <c r="DC25" s="60"/>
      <c r="DD25" s="69"/>
      <c r="DE25" s="60"/>
      <c r="DF25" s="70">
        <v>10</v>
      </c>
      <c r="DG25" s="70">
        <v>38.1</v>
      </c>
      <c r="DH25" s="71"/>
      <c r="DI25" s="64"/>
      <c r="DJ25" s="35" t="s">
        <v>643</v>
      </c>
      <c r="DK25" s="61"/>
      <c r="DL25" s="61"/>
      <c r="DM25" s="72"/>
      <c r="DN25" s="64"/>
      <c r="DO25" s="72"/>
      <c r="DP25" s="64">
        <v>1.7</v>
      </c>
      <c r="DQ25" s="72"/>
      <c r="DR25" s="64"/>
      <c r="DS25" s="70">
        <v>1.9</v>
      </c>
      <c r="DT25" s="36" t="s">
        <v>581</v>
      </c>
      <c r="DU25" s="66"/>
      <c r="DV25" s="62"/>
      <c r="DW25" s="62"/>
      <c r="DX25" s="73">
        <v>33970</v>
      </c>
      <c r="DY25" s="121"/>
      <c r="DZ25" s="74" t="s">
        <v>644</v>
      </c>
      <c r="EA25" s="241" t="s">
        <v>1086</v>
      </c>
    </row>
    <row r="26" spans="1:131" x14ac:dyDescent="0.4">
      <c r="A26" s="4" t="s">
        <v>71</v>
      </c>
      <c r="B26" s="5" t="s">
        <v>79</v>
      </c>
      <c r="C26" s="8">
        <v>48.93092</v>
      </c>
      <c r="D26" s="8">
        <v>7.8666910000000003</v>
      </c>
      <c r="E26" s="7" t="s">
        <v>46</v>
      </c>
      <c r="F26" s="5" t="s">
        <v>47</v>
      </c>
      <c r="G26" s="7" t="s">
        <v>78</v>
      </c>
      <c r="H26" s="4" t="s">
        <v>49</v>
      </c>
      <c r="I26" s="52"/>
      <c r="J26" s="53"/>
      <c r="K26" s="37">
        <v>2520</v>
      </c>
      <c r="L26" s="38">
        <v>2620</v>
      </c>
      <c r="M26" s="54">
        <v>3.0000000000000001E-3</v>
      </c>
      <c r="N26" s="55">
        <v>0.1</v>
      </c>
      <c r="O26" s="56">
        <f>AVERAGE(M26,N26)</f>
        <v>5.1500000000000004E-2</v>
      </c>
      <c r="P26" s="69">
        <v>9.9999999999999998E-17</v>
      </c>
      <c r="Q26" s="59">
        <v>1E-14</v>
      </c>
      <c r="R26" s="60">
        <f t="shared" si="6"/>
        <v>5.0499999999999996E-15</v>
      </c>
      <c r="S26" s="54"/>
      <c r="T26" s="55"/>
      <c r="U26" s="56"/>
      <c r="V26" s="55"/>
      <c r="W26" s="55"/>
      <c r="X26" s="56"/>
      <c r="Y26" s="54"/>
      <c r="Z26" s="56"/>
      <c r="AA26" s="54"/>
      <c r="AB26" s="56"/>
      <c r="AC26" s="54"/>
      <c r="AD26" s="56"/>
      <c r="AE26" s="54"/>
      <c r="AF26" s="56"/>
      <c r="AG26" s="54"/>
      <c r="AH26" s="56"/>
      <c r="AI26" s="54"/>
      <c r="AJ26" s="56"/>
      <c r="AK26" s="54"/>
      <c r="AL26" s="56"/>
      <c r="AM26" s="54"/>
      <c r="AN26" s="56"/>
      <c r="AO26" s="59"/>
      <c r="AP26" s="60"/>
      <c r="AQ26" s="66"/>
      <c r="AR26" s="62"/>
      <c r="AS26" s="38" t="s">
        <v>620</v>
      </c>
      <c r="AT26" s="65">
        <v>2.5499999999999998E-2</v>
      </c>
      <c r="AU26" s="64">
        <v>-1.3</v>
      </c>
      <c r="AV26" s="64">
        <f>AT26*CU26+AU26</f>
        <v>111.6905</v>
      </c>
      <c r="AW26" s="53">
        <f>AT26*CV26+AU26</f>
        <v>128.34199999999998</v>
      </c>
      <c r="AX26" s="65">
        <v>2.2950000000000002E-2</v>
      </c>
      <c r="AY26" s="64">
        <v>-1.17</v>
      </c>
      <c r="AZ26" s="64">
        <f>AX26*CU26+AY26</f>
        <v>100.52145</v>
      </c>
      <c r="BA26" s="53">
        <f>AX26*CV26+AY26</f>
        <v>115.5078</v>
      </c>
      <c r="BB26" s="63">
        <v>1.409E-2</v>
      </c>
      <c r="BC26" s="64">
        <v>-1.78</v>
      </c>
      <c r="BD26" s="64">
        <f>BB26*CU26+BC26</f>
        <v>60.652789999999996</v>
      </c>
      <c r="BE26" s="53">
        <f>BB26*CV26+BC26</f>
        <v>69.853560000000002</v>
      </c>
      <c r="BF26" s="36"/>
      <c r="BG26" s="38" t="s">
        <v>621</v>
      </c>
      <c r="BH26" s="65">
        <v>9.7999999999999997E-3</v>
      </c>
      <c r="BI26" s="64">
        <v>-0.9</v>
      </c>
      <c r="BJ26" s="64">
        <f>BH26*CU26+BI26</f>
        <v>42.523800000000001</v>
      </c>
      <c r="BK26" s="53">
        <f>BH26*CV26+BI26</f>
        <v>48.923200000000001</v>
      </c>
      <c r="BL26" s="66">
        <v>202</v>
      </c>
      <c r="BM26" s="62"/>
      <c r="BN26" s="109" t="s">
        <v>641</v>
      </c>
      <c r="BO26" s="38"/>
      <c r="BP26" s="36"/>
      <c r="BQ26" s="38"/>
      <c r="BR26" s="37"/>
      <c r="BS26" s="38"/>
      <c r="BT26" s="35"/>
      <c r="BU26" s="38"/>
      <c r="BV26" s="66"/>
      <c r="BW26" s="62"/>
      <c r="BX26" s="66"/>
      <c r="BY26" s="62"/>
      <c r="BZ26" s="67"/>
      <c r="CA26" s="61"/>
      <c r="CB26" s="62"/>
      <c r="CC26" s="37"/>
      <c r="CD26" s="38"/>
      <c r="CE26" s="64"/>
      <c r="CF26" s="53"/>
      <c r="CG26" s="37"/>
      <c r="CH26" s="38"/>
      <c r="CI26" s="37"/>
      <c r="CJ26" s="38"/>
      <c r="CK26" s="37"/>
      <c r="CL26" s="38"/>
      <c r="CM26" s="37"/>
      <c r="CN26" s="38"/>
      <c r="CO26" s="37"/>
      <c r="CP26" s="38"/>
      <c r="CQ26" s="37"/>
      <c r="CR26" s="38"/>
      <c r="CS26" s="37"/>
      <c r="CT26" s="38"/>
      <c r="CU26" s="66">
        <v>4431</v>
      </c>
      <c r="CV26" s="62">
        <v>5084</v>
      </c>
      <c r="CW26" s="35" t="s">
        <v>642</v>
      </c>
      <c r="CX26" s="132">
        <v>36707</v>
      </c>
      <c r="CY26" s="35"/>
      <c r="CZ26" s="35"/>
      <c r="DA26" s="133">
        <v>0.05</v>
      </c>
      <c r="DB26" s="69">
        <v>22000</v>
      </c>
      <c r="DC26" s="60">
        <v>33000</v>
      </c>
      <c r="DD26" s="69"/>
      <c r="DE26" s="60"/>
      <c r="DF26" s="70">
        <v>14.5</v>
      </c>
      <c r="DG26" s="70"/>
      <c r="DH26" s="71">
        <v>36707</v>
      </c>
      <c r="DI26" s="64"/>
      <c r="DJ26" s="134" t="s">
        <v>645</v>
      </c>
      <c r="DK26" s="61">
        <v>4000</v>
      </c>
      <c r="DL26" s="61">
        <v>5500</v>
      </c>
      <c r="DM26" s="72"/>
      <c r="DN26" s="64"/>
      <c r="DO26" s="72"/>
      <c r="DP26" s="64">
        <v>1</v>
      </c>
      <c r="DQ26" s="72"/>
      <c r="DR26" s="64"/>
      <c r="DS26" s="70">
        <v>2.4</v>
      </c>
      <c r="DT26" s="36" t="s">
        <v>541</v>
      </c>
      <c r="DU26" s="66"/>
      <c r="DV26" s="62"/>
      <c r="DW26" s="62"/>
      <c r="DX26" s="73">
        <v>36723</v>
      </c>
      <c r="DY26" s="121" t="s">
        <v>646</v>
      </c>
      <c r="DZ26" s="74" t="s">
        <v>647</v>
      </c>
      <c r="EA26" s="241" t="s">
        <v>1086</v>
      </c>
    </row>
    <row r="27" spans="1:131" x14ac:dyDescent="0.4">
      <c r="A27" s="16" t="s">
        <v>71</v>
      </c>
      <c r="B27" s="7" t="s">
        <v>80</v>
      </c>
      <c r="C27" s="8">
        <v>48.93092</v>
      </c>
      <c r="D27" s="8">
        <v>7.8666910000000003</v>
      </c>
      <c r="E27" s="7" t="s">
        <v>46</v>
      </c>
      <c r="F27" s="7" t="s">
        <v>68</v>
      </c>
      <c r="G27" s="7" t="s">
        <v>78</v>
      </c>
      <c r="H27" s="7" t="s">
        <v>49</v>
      </c>
      <c r="I27" s="52"/>
      <c r="J27" s="53"/>
      <c r="K27" s="36">
        <v>2520</v>
      </c>
      <c r="L27" s="38">
        <v>2620</v>
      </c>
      <c r="M27" s="54">
        <v>3.0000000000000001E-3</v>
      </c>
      <c r="N27" s="55">
        <v>0.1</v>
      </c>
      <c r="O27" s="56">
        <f>AVERAGE(M27,N27)</f>
        <v>5.1500000000000004E-2</v>
      </c>
      <c r="P27" s="59">
        <v>9.9999999999999998E-17</v>
      </c>
      <c r="Q27" s="59">
        <v>1E-14</v>
      </c>
      <c r="R27" s="60">
        <f t="shared" si="6"/>
        <v>5.0499999999999996E-15</v>
      </c>
      <c r="S27" s="54"/>
      <c r="T27" s="55"/>
      <c r="U27" s="56"/>
      <c r="V27" s="55"/>
      <c r="W27" s="55"/>
      <c r="X27" s="56"/>
      <c r="Y27" s="54"/>
      <c r="Z27" s="56"/>
      <c r="AA27" s="54"/>
      <c r="AB27" s="56"/>
      <c r="AC27" s="54"/>
      <c r="AD27" s="56"/>
      <c r="AE27" s="54"/>
      <c r="AF27" s="56"/>
      <c r="AG27" s="55"/>
      <c r="AH27" s="56"/>
      <c r="AI27" s="54"/>
      <c r="AJ27" s="56"/>
      <c r="AK27" s="55"/>
      <c r="AL27" s="56"/>
      <c r="AM27" s="54"/>
      <c r="AN27" s="56"/>
      <c r="AO27" s="69"/>
      <c r="AP27" s="60"/>
      <c r="AQ27" s="61"/>
      <c r="AR27" s="62"/>
      <c r="AS27" s="35" t="s">
        <v>620</v>
      </c>
      <c r="AT27" s="63">
        <v>2.5499999999999998E-2</v>
      </c>
      <c r="AU27" s="64">
        <v>-1.3</v>
      </c>
      <c r="AV27" s="64">
        <f>AT27*CU27+AU27</f>
        <v>111.6905</v>
      </c>
      <c r="AW27" s="53">
        <f>AT27*CV27+AU27</f>
        <v>128.34199999999998</v>
      </c>
      <c r="AX27" s="65">
        <v>2.2950000000000002E-2</v>
      </c>
      <c r="AY27" s="64">
        <v>-1.17</v>
      </c>
      <c r="AZ27" s="64">
        <f>AX27*CU27+AY27</f>
        <v>100.52145</v>
      </c>
      <c r="BA27" s="53">
        <f>AX27*CV27+AY27</f>
        <v>115.5078</v>
      </c>
      <c r="BB27" s="65">
        <v>1.409E-2</v>
      </c>
      <c r="BC27" s="64">
        <v>-1.78</v>
      </c>
      <c r="BD27" s="64">
        <f>BB27*CU27+BC27</f>
        <v>60.652789999999996</v>
      </c>
      <c r="BE27" s="53">
        <f>BB27*CV27+BC27</f>
        <v>69.853560000000002</v>
      </c>
      <c r="BF27" s="37"/>
      <c r="BG27" s="38" t="s">
        <v>621</v>
      </c>
      <c r="BH27" s="63">
        <v>9.7999999999999997E-3</v>
      </c>
      <c r="BI27" s="64">
        <v>-0.9</v>
      </c>
      <c r="BJ27" s="64">
        <f>BH27*CU27+BI27</f>
        <v>42.523800000000001</v>
      </c>
      <c r="BK27" s="53">
        <f>BH27*CV27+BI27</f>
        <v>48.923200000000001</v>
      </c>
      <c r="BL27" s="66">
        <v>202</v>
      </c>
      <c r="BM27" s="62"/>
      <c r="BN27" s="109" t="s">
        <v>641</v>
      </c>
      <c r="BO27" s="38"/>
      <c r="BP27" s="37"/>
      <c r="BQ27" s="38"/>
      <c r="BR27" s="37"/>
      <c r="BS27" s="38"/>
      <c r="BT27" s="35"/>
      <c r="BU27" s="35"/>
      <c r="BV27" s="66"/>
      <c r="BW27" s="62"/>
      <c r="BX27" s="66"/>
      <c r="BY27" s="62"/>
      <c r="BZ27" s="67"/>
      <c r="CA27" s="66"/>
      <c r="CB27" s="62"/>
      <c r="CC27" s="37"/>
      <c r="CD27" s="38"/>
      <c r="CE27" s="52"/>
      <c r="CF27" s="53"/>
      <c r="CG27" s="37"/>
      <c r="CH27" s="38"/>
      <c r="CI27" s="36"/>
      <c r="CJ27" s="38"/>
      <c r="CK27" s="37"/>
      <c r="CL27" s="38"/>
      <c r="CM27" s="36"/>
      <c r="CN27" s="38"/>
      <c r="CO27" s="37"/>
      <c r="CP27" s="38"/>
      <c r="CQ27" s="37"/>
      <c r="CR27" s="38"/>
      <c r="CS27" s="37"/>
      <c r="CT27" s="38"/>
      <c r="CU27" s="66">
        <v>4431</v>
      </c>
      <c r="CV27" s="61">
        <v>5084</v>
      </c>
      <c r="CW27" s="35" t="s">
        <v>648</v>
      </c>
      <c r="CX27" s="68">
        <v>37742</v>
      </c>
      <c r="CY27" s="37"/>
      <c r="CZ27" s="35"/>
      <c r="DA27" s="60">
        <v>0.02</v>
      </c>
      <c r="DB27" s="69">
        <v>3400</v>
      </c>
      <c r="DC27" s="60"/>
      <c r="DD27" s="69"/>
      <c r="DE27" s="60"/>
      <c r="DF27" s="70">
        <v>7.9</v>
      </c>
      <c r="DG27" s="52"/>
      <c r="DH27" s="135"/>
      <c r="DI27" s="53"/>
      <c r="DJ27" s="35" t="s">
        <v>649</v>
      </c>
      <c r="DK27" s="66"/>
      <c r="DL27" s="61"/>
      <c r="DM27" s="72"/>
      <c r="DN27" s="64"/>
      <c r="DO27" s="72"/>
      <c r="DP27" s="64">
        <v>1</v>
      </c>
      <c r="DQ27" s="72"/>
      <c r="DR27" s="53"/>
      <c r="DS27" s="70">
        <v>2.9</v>
      </c>
      <c r="DT27" s="35" t="s">
        <v>581</v>
      </c>
      <c r="DU27" s="66"/>
      <c r="DV27" s="62"/>
      <c r="DW27" s="67"/>
      <c r="DX27" s="73">
        <v>37622</v>
      </c>
      <c r="DY27" s="121" t="s">
        <v>650</v>
      </c>
      <c r="DZ27" s="74" t="s">
        <v>651</v>
      </c>
      <c r="EA27" s="241" t="s">
        <v>1086</v>
      </c>
    </row>
    <row r="28" spans="1:131" x14ac:dyDescent="0.4">
      <c r="A28" s="4" t="s">
        <v>71</v>
      </c>
      <c r="B28" s="5" t="s">
        <v>81</v>
      </c>
      <c r="C28" s="8">
        <v>48.93092</v>
      </c>
      <c r="D28" s="8">
        <v>7.8666910000000003</v>
      </c>
      <c r="E28" s="7" t="s">
        <v>46</v>
      </c>
      <c r="F28" s="5" t="s">
        <v>47</v>
      </c>
      <c r="G28" s="7" t="s">
        <v>78</v>
      </c>
      <c r="H28" s="4" t="s">
        <v>49</v>
      </c>
      <c r="I28" s="52">
        <v>0.25</v>
      </c>
      <c r="J28" s="53">
        <v>0.85</v>
      </c>
      <c r="K28" s="36">
        <v>2520</v>
      </c>
      <c r="L28" s="38">
        <v>2620</v>
      </c>
      <c r="M28" s="54">
        <v>3.0000000000000001E-3</v>
      </c>
      <c r="N28" s="55">
        <v>0.1</v>
      </c>
      <c r="O28" s="56">
        <f>AVERAGE(M28,N28)</f>
        <v>5.1500000000000004E-2</v>
      </c>
      <c r="P28" s="59">
        <v>9.9999999999999998E-17</v>
      </c>
      <c r="Q28" s="59">
        <v>1E-14</v>
      </c>
      <c r="R28" s="60">
        <f t="shared" si="6"/>
        <v>5.0499999999999996E-15</v>
      </c>
      <c r="S28" s="54"/>
      <c r="T28" s="55"/>
      <c r="U28" s="56"/>
      <c r="V28" s="55"/>
      <c r="W28" s="55"/>
      <c r="X28" s="56"/>
      <c r="Y28" s="54"/>
      <c r="Z28" s="56"/>
      <c r="AA28" s="54"/>
      <c r="AB28" s="56"/>
      <c r="AC28" s="54"/>
      <c r="AD28" s="56"/>
      <c r="AE28" s="54"/>
      <c r="AF28" s="56"/>
      <c r="AG28" s="55"/>
      <c r="AH28" s="56"/>
      <c r="AI28" s="54"/>
      <c r="AJ28" s="56"/>
      <c r="AK28" s="55"/>
      <c r="AL28" s="56"/>
      <c r="AM28" s="54"/>
      <c r="AN28" s="56"/>
      <c r="AO28" s="59"/>
      <c r="AP28" s="60"/>
      <c r="AQ28" s="61"/>
      <c r="AR28" s="62"/>
      <c r="AS28" s="38" t="s">
        <v>620</v>
      </c>
      <c r="AT28" s="63">
        <v>2.5499999999999998E-2</v>
      </c>
      <c r="AU28" s="64">
        <v>-1.3</v>
      </c>
      <c r="AV28" s="64">
        <f>AT28*CU28+AU28</f>
        <v>114.878</v>
      </c>
      <c r="AW28" s="53">
        <f>AT28*CV28+AU28</f>
        <v>126.19999999999999</v>
      </c>
      <c r="AX28" s="65">
        <v>2.2950000000000002E-2</v>
      </c>
      <c r="AY28" s="64">
        <v>-1.17</v>
      </c>
      <c r="AZ28" s="64">
        <f>AX28*CU28+AY28</f>
        <v>103.39020000000001</v>
      </c>
      <c r="BA28" s="53">
        <f>AX28*CV28+AY28</f>
        <v>113.58000000000001</v>
      </c>
      <c r="BB28" s="63">
        <v>1.409E-2</v>
      </c>
      <c r="BC28" s="64">
        <v>-1.78</v>
      </c>
      <c r="BD28" s="64">
        <f>BB28*CU28+BC28</f>
        <v>62.41404</v>
      </c>
      <c r="BE28" s="53">
        <f>BB28*CV28+BC28</f>
        <v>68.67</v>
      </c>
      <c r="BF28" s="36"/>
      <c r="BG28" s="38" t="s">
        <v>652</v>
      </c>
      <c r="BH28" s="63">
        <v>9.7999999999999997E-3</v>
      </c>
      <c r="BI28" s="64">
        <v>-0.9</v>
      </c>
      <c r="BJ28" s="64">
        <f>BH28*CU28+BI28</f>
        <v>43.748800000000003</v>
      </c>
      <c r="BK28" s="53">
        <f>BH28*CV28+BI28</f>
        <v>48.1</v>
      </c>
      <c r="BL28" s="66">
        <v>202</v>
      </c>
      <c r="BM28" s="62"/>
      <c r="BN28" s="109" t="s">
        <v>641</v>
      </c>
      <c r="BO28" s="38"/>
      <c r="BP28" s="36"/>
      <c r="BQ28" s="38"/>
      <c r="BR28" s="37"/>
      <c r="BS28" s="38"/>
      <c r="BT28" s="35"/>
      <c r="BU28" s="38"/>
      <c r="BV28" s="66">
        <v>25</v>
      </c>
      <c r="BW28" s="62"/>
      <c r="BX28" s="66"/>
      <c r="BY28" s="62"/>
      <c r="BZ28" s="67">
        <v>0</v>
      </c>
      <c r="CA28" s="61">
        <v>4755</v>
      </c>
      <c r="CB28" s="62">
        <v>4780</v>
      </c>
      <c r="CC28" s="37"/>
      <c r="CD28" s="38"/>
      <c r="CE28" s="64"/>
      <c r="CF28" s="53"/>
      <c r="CG28" s="37"/>
      <c r="CH28" s="38"/>
      <c r="CI28" s="36"/>
      <c r="CJ28" s="38"/>
      <c r="CK28" s="37"/>
      <c r="CL28" s="38"/>
      <c r="CM28" s="36"/>
      <c r="CN28" s="38"/>
      <c r="CO28" s="37"/>
      <c r="CP28" s="38"/>
      <c r="CQ28" s="37"/>
      <c r="CR28" s="38"/>
      <c r="CS28" s="37"/>
      <c r="CT28" s="38"/>
      <c r="CU28" s="66">
        <v>4556</v>
      </c>
      <c r="CV28" s="61">
        <v>5000</v>
      </c>
      <c r="CW28" s="35" t="s">
        <v>642</v>
      </c>
      <c r="CX28" s="68">
        <v>37768</v>
      </c>
      <c r="CY28" s="37"/>
      <c r="CZ28" s="35"/>
      <c r="DA28" s="60">
        <v>1.4999999999999999E-2</v>
      </c>
      <c r="DB28" s="69">
        <v>8500</v>
      </c>
      <c r="DC28" s="60"/>
      <c r="DD28" s="69"/>
      <c r="DE28" s="60"/>
      <c r="DF28" s="70">
        <v>7</v>
      </c>
      <c r="DG28" s="70"/>
      <c r="DH28" s="71">
        <v>37768</v>
      </c>
      <c r="DI28" s="64"/>
      <c r="DJ28" s="134" t="s">
        <v>653</v>
      </c>
      <c r="DK28" s="61">
        <v>4000</v>
      </c>
      <c r="DL28" s="61">
        <v>5500</v>
      </c>
      <c r="DM28" s="72"/>
      <c r="DN28" s="64"/>
      <c r="DO28" s="72"/>
      <c r="DP28" s="64">
        <v>2.1</v>
      </c>
      <c r="DQ28" s="72"/>
      <c r="DR28" s="64"/>
      <c r="DS28" s="70">
        <v>2.2999999999999998</v>
      </c>
      <c r="DT28" s="36" t="s">
        <v>581</v>
      </c>
      <c r="DU28" s="66"/>
      <c r="DV28" s="62"/>
      <c r="DW28" s="62"/>
      <c r="DX28" s="73">
        <v>38353</v>
      </c>
      <c r="DY28" s="114" t="s">
        <v>654</v>
      </c>
      <c r="DZ28" s="74" t="s">
        <v>655</v>
      </c>
      <c r="EA28" s="241" t="s">
        <v>1086</v>
      </c>
    </row>
    <row r="29" spans="1:131" x14ac:dyDescent="0.4">
      <c r="A29" s="4" t="s">
        <v>71</v>
      </c>
      <c r="B29" s="5" t="s">
        <v>82</v>
      </c>
      <c r="C29" s="8">
        <v>48.93092</v>
      </c>
      <c r="D29" s="8">
        <v>7.8666910000000003</v>
      </c>
      <c r="E29" s="7" t="s">
        <v>46</v>
      </c>
      <c r="F29" s="5" t="s">
        <v>47</v>
      </c>
      <c r="G29" s="7" t="s">
        <v>78</v>
      </c>
      <c r="H29" s="4" t="s">
        <v>49</v>
      </c>
      <c r="I29" s="52">
        <v>0.25</v>
      </c>
      <c r="J29" s="53">
        <v>0.85</v>
      </c>
      <c r="K29" s="36">
        <v>2520</v>
      </c>
      <c r="L29" s="38">
        <v>2620</v>
      </c>
      <c r="M29" s="54">
        <v>3.0000000000000001E-3</v>
      </c>
      <c r="N29" s="55">
        <v>0.1</v>
      </c>
      <c r="O29" s="56">
        <f>AVERAGE(M29,N29)</f>
        <v>5.1500000000000004E-2</v>
      </c>
      <c r="P29" s="59">
        <v>9.9999999999999998E-17</v>
      </c>
      <c r="Q29" s="59">
        <v>1E-14</v>
      </c>
      <c r="R29" s="60">
        <f t="shared" si="6"/>
        <v>5.0499999999999996E-15</v>
      </c>
      <c r="S29" s="54"/>
      <c r="T29" s="55"/>
      <c r="U29" s="56"/>
      <c r="V29" s="55"/>
      <c r="W29" s="55"/>
      <c r="X29" s="56"/>
      <c r="Y29" s="54"/>
      <c r="Z29" s="56"/>
      <c r="AA29" s="54"/>
      <c r="AB29" s="56"/>
      <c r="AC29" s="54"/>
      <c r="AD29" s="56"/>
      <c r="AE29" s="54"/>
      <c r="AF29" s="56"/>
      <c r="AG29" s="55"/>
      <c r="AH29" s="56"/>
      <c r="AI29" s="54"/>
      <c r="AJ29" s="56"/>
      <c r="AK29" s="55"/>
      <c r="AL29" s="56"/>
      <c r="AM29" s="54"/>
      <c r="AN29" s="56"/>
      <c r="AO29" s="59"/>
      <c r="AP29" s="60"/>
      <c r="AQ29" s="61"/>
      <c r="AR29" s="62"/>
      <c r="AS29" s="38" t="s">
        <v>620</v>
      </c>
      <c r="AT29" s="63">
        <v>2.5499999999999998E-2</v>
      </c>
      <c r="AU29" s="64">
        <v>-1.3</v>
      </c>
      <c r="AV29" s="64">
        <f>AT29*CU29+AU29</f>
        <v>113.44999999999999</v>
      </c>
      <c r="AW29" s="53">
        <f>AT29*CV29+AU29</f>
        <v>126.19999999999999</v>
      </c>
      <c r="AX29" s="65">
        <v>2.2950000000000002E-2</v>
      </c>
      <c r="AY29" s="64">
        <v>-1.17</v>
      </c>
      <c r="AZ29" s="64">
        <f>AX29*CU29+AY29</f>
        <v>102.105</v>
      </c>
      <c r="BA29" s="53">
        <f>AX29*CV29+AY29</f>
        <v>113.58000000000001</v>
      </c>
      <c r="BB29" s="63">
        <v>1.409E-2</v>
      </c>
      <c r="BC29" s="64">
        <v>-1.78</v>
      </c>
      <c r="BD29" s="64">
        <f>BB29*CU29+BC29</f>
        <v>61.625</v>
      </c>
      <c r="BE29" s="53">
        <f>BB29*CV29+BC29</f>
        <v>68.67</v>
      </c>
      <c r="BF29" s="36" t="s">
        <v>652</v>
      </c>
      <c r="BG29" s="38" t="s">
        <v>656</v>
      </c>
      <c r="BH29" s="63">
        <v>9.7999999999999997E-3</v>
      </c>
      <c r="BI29" s="64">
        <v>-0.9</v>
      </c>
      <c r="BJ29" s="64">
        <f>BH29*CU29+BI29</f>
        <v>43.2</v>
      </c>
      <c r="BK29" s="53">
        <f>BH29*CV29+BI29</f>
        <v>48.1</v>
      </c>
      <c r="BL29" s="66">
        <v>202</v>
      </c>
      <c r="BM29" s="62"/>
      <c r="BN29" s="109" t="s">
        <v>641</v>
      </c>
      <c r="BO29" s="38"/>
      <c r="BP29" s="36"/>
      <c r="BQ29" s="38"/>
      <c r="BR29" s="37"/>
      <c r="BS29" s="38"/>
      <c r="BT29" s="35"/>
      <c r="BU29" s="38"/>
      <c r="BV29" s="66"/>
      <c r="BW29" s="62"/>
      <c r="BX29" s="66"/>
      <c r="BY29" s="62"/>
      <c r="BZ29" s="67"/>
      <c r="CA29" s="61"/>
      <c r="CB29" s="62"/>
      <c r="CC29" s="37"/>
      <c r="CD29" s="38"/>
      <c r="CE29" s="64"/>
      <c r="CF29" s="53"/>
      <c r="CG29" s="37"/>
      <c r="CH29" s="38"/>
      <c r="CI29" s="36"/>
      <c r="CJ29" s="38"/>
      <c r="CK29" s="37"/>
      <c r="CL29" s="38"/>
      <c r="CM29" s="36"/>
      <c r="CN29" s="38"/>
      <c r="CO29" s="37"/>
      <c r="CP29" s="38"/>
      <c r="CQ29" s="37"/>
      <c r="CR29" s="38"/>
      <c r="CS29" s="37"/>
      <c r="CT29" s="38"/>
      <c r="CU29" s="66">
        <v>4500</v>
      </c>
      <c r="CV29" s="61">
        <v>5000</v>
      </c>
      <c r="CW29" s="35"/>
      <c r="CX29" s="68">
        <v>38231</v>
      </c>
      <c r="CY29" s="37"/>
      <c r="CZ29" s="35"/>
      <c r="DA29" s="60">
        <v>4.4999999999999998E-2</v>
      </c>
      <c r="DB29" s="69"/>
      <c r="DC29" s="60">
        <v>21500</v>
      </c>
      <c r="DD29" s="69"/>
      <c r="DE29" s="60"/>
      <c r="DF29" s="70">
        <v>18.5</v>
      </c>
      <c r="DG29" s="70"/>
      <c r="DH29" s="71"/>
      <c r="DI29" s="64"/>
      <c r="DJ29" s="35" t="s">
        <v>657</v>
      </c>
      <c r="DK29" s="61"/>
      <c r="DL29" s="61"/>
      <c r="DM29" s="72"/>
      <c r="DN29" s="64"/>
      <c r="DO29" s="72"/>
      <c r="DP29" s="64">
        <v>1.3</v>
      </c>
      <c r="DQ29" s="72"/>
      <c r="DR29" s="64"/>
      <c r="DS29" s="70">
        <v>2.7</v>
      </c>
      <c r="DT29" s="36" t="s">
        <v>581</v>
      </c>
      <c r="DU29" s="66"/>
      <c r="DV29" s="62"/>
      <c r="DW29" s="62"/>
      <c r="DX29" s="73">
        <v>38384</v>
      </c>
      <c r="DY29" s="114"/>
      <c r="DZ29" s="74"/>
      <c r="EA29" s="241" t="s">
        <v>1086</v>
      </c>
    </row>
    <row r="30" spans="1:131" x14ac:dyDescent="0.4">
      <c r="A30" s="4" t="s">
        <v>83</v>
      </c>
      <c r="B30" s="5" t="s">
        <v>84</v>
      </c>
      <c r="C30" s="8">
        <v>48.506892000000001</v>
      </c>
      <c r="D30" s="8">
        <v>9.3735649999999993</v>
      </c>
      <c r="E30" s="7" t="s">
        <v>46</v>
      </c>
      <c r="F30" s="17" t="s">
        <v>47</v>
      </c>
      <c r="G30" s="7"/>
      <c r="H30" s="4" t="s">
        <v>85</v>
      </c>
      <c r="I30" s="52"/>
      <c r="J30" s="53"/>
      <c r="K30" s="99">
        <v>2625</v>
      </c>
      <c r="L30" s="38"/>
      <c r="M30" s="54"/>
      <c r="N30" s="55"/>
      <c r="O30" s="56"/>
      <c r="P30" s="57">
        <v>8.9999999999999999E-18</v>
      </c>
      <c r="Q30" s="57">
        <v>1.0000000000000001E-15</v>
      </c>
      <c r="R30" s="60">
        <f t="shared" si="6"/>
        <v>5.0450000000000001E-16</v>
      </c>
      <c r="S30" s="101">
        <v>59</v>
      </c>
      <c r="T30" s="103">
        <v>69</v>
      </c>
      <c r="U30" s="102">
        <f>AVERAGE(S30,T30)</f>
        <v>64</v>
      </c>
      <c r="V30" s="103">
        <v>0.255</v>
      </c>
      <c r="W30" s="55"/>
      <c r="X30" s="56">
        <f>AVERAGE(V30,W30)</f>
        <v>0.255</v>
      </c>
      <c r="Y30" s="54">
        <f>S30/(3*(1-2*V30))</f>
        <v>40.136054421768705</v>
      </c>
      <c r="Z30" s="56">
        <f>T30/(3*(1-2*W30))</f>
        <v>23</v>
      </c>
      <c r="AA30" s="54">
        <f>S30/(2*(1+V30))</f>
        <v>23.50597609561753</v>
      </c>
      <c r="AB30" s="56">
        <f>T30/(2*(1+W30))</f>
        <v>34.5</v>
      </c>
      <c r="AC30" s="54"/>
      <c r="AD30" s="56"/>
      <c r="AE30" s="54"/>
      <c r="AF30" s="56"/>
      <c r="AG30" s="55"/>
      <c r="AH30" s="56"/>
      <c r="AI30" s="54"/>
      <c r="AJ30" s="56"/>
      <c r="AK30" s="55"/>
      <c r="AL30" s="56"/>
      <c r="AM30" s="101">
        <v>2.7</v>
      </c>
      <c r="AN30" s="102">
        <v>3.2</v>
      </c>
      <c r="AO30" s="59"/>
      <c r="AP30" s="60"/>
      <c r="AQ30" s="104"/>
      <c r="AR30" s="105"/>
      <c r="AS30" s="100" t="s">
        <v>535</v>
      </c>
      <c r="AT30" s="106">
        <v>2.6599999999999999E-2</v>
      </c>
      <c r="AU30" s="107">
        <v>0</v>
      </c>
      <c r="AV30" s="64"/>
      <c r="AW30" s="53">
        <f>PRODUCT(AT30,CV30)</f>
        <v>114.38</v>
      </c>
      <c r="AX30" s="108">
        <v>3.3000000000000002E-2</v>
      </c>
      <c r="AY30" s="107">
        <v>0</v>
      </c>
      <c r="AZ30" s="64"/>
      <c r="BA30" s="53">
        <f>PRODUCT(AX30,CV30)</f>
        <v>141.9</v>
      </c>
      <c r="BB30" s="106">
        <v>1.44E-2</v>
      </c>
      <c r="BC30" s="107">
        <v>0</v>
      </c>
      <c r="BD30" s="64"/>
      <c r="BE30" s="53">
        <f>PRODUCT(BB30,CV30)</f>
        <v>61.92</v>
      </c>
      <c r="BF30" s="99" t="s">
        <v>658</v>
      </c>
      <c r="BG30" s="38"/>
      <c r="BH30" s="106">
        <v>0.01</v>
      </c>
      <c r="BI30" s="107">
        <v>0</v>
      </c>
      <c r="BJ30" s="107"/>
      <c r="BK30" s="53">
        <f>PRODUCT(CV30,BH30)</f>
        <v>43</v>
      </c>
      <c r="BL30" s="66">
        <v>170</v>
      </c>
      <c r="BM30" s="62"/>
      <c r="BN30" s="109" t="s">
        <v>641</v>
      </c>
      <c r="BO30" s="38"/>
      <c r="BP30" s="99">
        <v>90</v>
      </c>
      <c r="BQ30" s="38"/>
      <c r="BR30" s="37"/>
      <c r="BS30" s="38"/>
      <c r="BT30" s="35"/>
      <c r="BU30" s="38"/>
      <c r="BV30" s="66"/>
      <c r="BW30" s="62"/>
      <c r="BX30" s="66"/>
      <c r="BY30" s="62"/>
      <c r="BZ30" s="67"/>
      <c r="CA30" s="61"/>
      <c r="CB30" s="62"/>
      <c r="CC30" s="37"/>
      <c r="CD30" s="38"/>
      <c r="CE30" s="64"/>
      <c r="CF30" s="53"/>
      <c r="CG30" s="37"/>
      <c r="CH30" s="38"/>
      <c r="CI30" s="36"/>
      <c r="CJ30" s="38"/>
      <c r="CK30" s="37"/>
      <c r="CL30" s="38"/>
      <c r="CM30" s="36"/>
      <c r="CN30" s="38"/>
      <c r="CO30" s="37"/>
      <c r="CP30" s="38"/>
      <c r="CQ30" s="37"/>
      <c r="CR30" s="38"/>
      <c r="CS30" s="37"/>
      <c r="CT30" s="38"/>
      <c r="CU30" s="66"/>
      <c r="CV30" s="61">
        <v>4300</v>
      </c>
      <c r="CW30" s="35"/>
      <c r="CX30" s="68">
        <v>37500</v>
      </c>
      <c r="CY30" s="37"/>
      <c r="CZ30" s="35"/>
      <c r="DA30" s="60">
        <v>0.05</v>
      </c>
      <c r="DB30" s="69">
        <v>5600</v>
      </c>
      <c r="DC30" s="60"/>
      <c r="DD30" s="69"/>
      <c r="DE30" s="60"/>
      <c r="DF30" s="70">
        <v>34</v>
      </c>
      <c r="DG30" s="70"/>
      <c r="DH30" s="71">
        <v>37500</v>
      </c>
      <c r="DI30" s="64">
        <v>0.4</v>
      </c>
      <c r="DJ30" s="35" t="s">
        <v>659</v>
      </c>
      <c r="DK30" s="61"/>
      <c r="DL30" s="61"/>
      <c r="DM30" s="72"/>
      <c r="DN30" s="64"/>
      <c r="DO30" s="72"/>
      <c r="DP30" s="64"/>
      <c r="DQ30" s="72"/>
      <c r="DR30" s="64"/>
      <c r="DS30" s="70">
        <v>1.8</v>
      </c>
      <c r="DT30" s="36" t="s">
        <v>541</v>
      </c>
      <c r="DU30" s="66"/>
      <c r="DV30" s="62"/>
      <c r="DW30" s="105">
        <v>500</v>
      </c>
      <c r="DX30" s="73">
        <v>37257</v>
      </c>
      <c r="DY30" s="21" t="s">
        <v>660</v>
      </c>
      <c r="DZ30" s="74"/>
      <c r="EA30" s="241" t="s">
        <v>661</v>
      </c>
    </row>
    <row r="31" spans="1:131" x14ac:dyDescent="0.4">
      <c r="A31" s="4" t="s">
        <v>83</v>
      </c>
      <c r="B31" s="5" t="s">
        <v>86</v>
      </c>
      <c r="C31" s="8">
        <v>52.903491000000002</v>
      </c>
      <c r="D31" s="8">
        <v>10.328189</v>
      </c>
      <c r="E31" s="7" t="s">
        <v>46</v>
      </c>
      <c r="F31" s="5" t="s">
        <v>47</v>
      </c>
      <c r="G31" s="7" t="s">
        <v>87</v>
      </c>
      <c r="H31" s="4" t="s">
        <v>23</v>
      </c>
      <c r="I31" s="52"/>
      <c r="J31" s="53"/>
      <c r="K31" s="36">
        <v>2670</v>
      </c>
      <c r="L31" s="38">
        <v>2710</v>
      </c>
      <c r="M31" s="54"/>
      <c r="N31" s="55"/>
      <c r="O31" s="56">
        <v>7.0000000000000007E-2</v>
      </c>
      <c r="P31" s="59">
        <v>1.0000000000000001E-18</v>
      </c>
      <c r="Q31" s="36"/>
      <c r="R31" s="60">
        <f t="shared" si="6"/>
        <v>1.0000000000000001E-18</v>
      </c>
      <c r="S31" s="54">
        <v>52</v>
      </c>
      <c r="T31" s="55">
        <v>59</v>
      </c>
      <c r="U31" s="56">
        <f>AVERAGE(S31,T31)</f>
        <v>55.5</v>
      </c>
      <c r="V31" s="55">
        <v>0.22</v>
      </c>
      <c r="W31" s="55">
        <v>0.27</v>
      </c>
      <c r="X31" s="56">
        <f>AVERAGE(V31,W31)</f>
        <v>0.245</v>
      </c>
      <c r="Y31" s="54">
        <v>38</v>
      </c>
      <c r="Z31" s="56">
        <f>T31/(3*(1-2*W31))</f>
        <v>42.753623188405797</v>
      </c>
      <c r="AA31" s="54">
        <v>22</v>
      </c>
      <c r="AB31" s="56">
        <f>T31/(2*(1+W31))</f>
        <v>23.228346456692915</v>
      </c>
      <c r="AC31" s="54"/>
      <c r="AD31" s="56"/>
      <c r="AE31" s="54"/>
      <c r="AF31" s="56"/>
      <c r="AG31" s="55"/>
      <c r="AH31" s="56"/>
      <c r="AI31" s="54"/>
      <c r="AJ31" s="56"/>
      <c r="AK31" s="55"/>
      <c r="AL31" s="56"/>
      <c r="AM31" s="54"/>
      <c r="AN31" s="56"/>
      <c r="AO31" s="59"/>
      <c r="AP31" s="60"/>
      <c r="AQ31" s="61">
        <v>5000</v>
      </c>
      <c r="AR31" s="62"/>
      <c r="AS31" s="38" t="s">
        <v>552</v>
      </c>
      <c r="AT31" s="63"/>
      <c r="AU31" s="64"/>
      <c r="AV31" s="64"/>
      <c r="AW31" s="53"/>
      <c r="AX31" s="65"/>
      <c r="AY31" s="64"/>
      <c r="AZ31" s="64"/>
      <c r="BA31" s="53"/>
      <c r="BB31" s="63"/>
      <c r="BC31" s="64"/>
      <c r="BD31" s="64"/>
      <c r="BE31" s="53"/>
      <c r="BF31" s="36" t="s">
        <v>641</v>
      </c>
      <c r="BG31" s="38"/>
      <c r="BH31" s="63"/>
      <c r="BI31" s="64"/>
      <c r="BJ31" s="64"/>
      <c r="BK31" s="53"/>
      <c r="BL31" s="66">
        <v>169</v>
      </c>
      <c r="BM31" s="62"/>
      <c r="BN31" s="37"/>
      <c r="BO31" s="38"/>
      <c r="BP31" s="36"/>
      <c r="BQ31" s="38"/>
      <c r="BR31" s="37"/>
      <c r="BS31" s="38"/>
      <c r="BT31" s="35"/>
      <c r="BU31" s="38"/>
      <c r="BV31" s="66"/>
      <c r="BW31" s="62"/>
      <c r="BX31" s="66"/>
      <c r="BY31" s="62"/>
      <c r="BZ31" s="67"/>
      <c r="CA31" s="61"/>
      <c r="CB31" s="62"/>
      <c r="CC31" s="37"/>
      <c r="CD31" s="38"/>
      <c r="CE31" s="64"/>
      <c r="CF31" s="53"/>
      <c r="CG31" s="37"/>
      <c r="CH31" s="38"/>
      <c r="CI31" s="36"/>
      <c r="CJ31" s="38"/>
      <c r="CK31" s="37"/>
      <c r="CL31" s="38"/>
      <c r="CM31" s="36"/>
      <c r="CN31" s="38"/>
      <c r="CO31" s="37"/>
      <c r="CP31" s="38"/>
      <c r="CQ31" s="37"/>
      <c r="CR31" s="38"/>
      <c r="CS31" s="37"/>
      <c r="CT31" s="38"/>
      <c r="CU31" s="66">
        <v>3664</v>
      </c>
      <c r="CV31" s="61">
        <v>3926.5</v>
      </c>
      <c r="CW31" s="35" t="s">
        <v>662</v>
      </c>
      <c r="CX31" s="68">
        <v>37865</v>
      </c>
      <c r="CY31" s="37" t="s">
        <v>597</v>
      </c>
      <c r="CZ31" s="35">
        <v>60</v>
      </c>
      <c r="DA31" s="60">
        <v>0.05</v>
      </c>
      <c r="DB31" s="69"/>
      <c r="DC31" s="60"/>
      <c r="DD31" s="69">
        <v>20000</v>
      </c>
      <c r="DE31" s="60"/>
      <c r="DF31" s="70">
        <v>46</v>
      </c>
      <c r="DG31" s="70"/>
      <c r="DH31" s="71"/>
      <c r="DI31" s="64"/>
      <c r="DJ31" s="35">
        <v>11</v>
      </c>
      <c r="DK31" s="61"/>
      <c r="DL31" s="61"/>
      <c r="DM31" s="72"/>
      <c r="DN31" s="64"/>
      <c r="DO31" s="72"/>
      <c r="DP31" s="64"/>
      <c r="DQ31" s="72"/>
      <c r="DR31" s="64"/>
      <c r="DS31" s="70">
        <v>0</v>
      </c>
      <c r="DT31" s="36" t="s">
        <v>581</v>
      </c>
      <c r="DU31" s="66"/>
      <c r="DV31" s="62"/>
      <c r="DW31" s="62"/>
      <c r="DX31" s="73"/>
      <c r="DY31" s="114"/>
      <c r="DZ31" s="74" t="s">
        <v>663</v>
      </c>
      <c r="EA31" s="241" t="s">
        <v>664</v>
      </c>
    </row>
    <row r="32" spans="1:131" x14ac:dyDescent="0.4">
      <c r="A32" s="4" t="s">
        <v>83</v>
      </c>
      <c r="B32" s="5" t="s">
        <v>88</v>
      </c>
      <c r="C32" s="8">
        <v>52.90372</v>
      </c>
      <c r="D32" s="8">
        <v>13.60168</v>
      </c>
      <c r="E32" s="7" t="s">
        <v>46</v>
      </c>
      <c r="F32" s="5" t="s">
        <v>47</v>
      </c>
      <c r="G32" s="7" t="s">
        <v>31</v>
      </c>
      <c r="H32" s="4" t="s">
        <v>89</v>
      </c>
      <c r="I32" s="52"/>
      <c r="J32" s="53"/>
      <c r="K32" s="36">
        <v>2650</v>
      </c>
      <c r="L32" s="38"/>
      <c r="M32" s="54">
        <v>0.125</v>
      </c>
      <c r="N32" s="55"/>
      <c r="O32" s="56">
        <v>0.125</v>
      </c>
      <c r="P32" s="59">
        <v>1.3E-15</v>
      </c>
      <c r="Q32" s="36"/>
      <c r="R32" s="60">
        <f t="shared" si="6"/>
        <v>1.3E-15</v>
      </c>
      <c r="S32" s="54">
        <v>55</v>
      </c>
      <c r="T32" s="55"/>
      <c r="U32" s="56">
        <f>AVERAGE(S32,T32)</f>
        <v>55</v>
      </c>
      <c r="V32" s="55">
        <v>0.2</v>
      </c>
      <c r="W32" s="55"/>
      <c r="X32" s="56">
        <f>AVERAGE(V32,W32)</f>
        <v>0.2</v>
      </c>
      <c r="Y32" s="54">
        <v>30.56</v>
      </c>
      <c r="Z32" s="56"/>
      <c r="AA32" s="54">
        <v>22.92</v>
      </c>
      <c r="AB32" s="56"/>
      <c r="AC32" s="54">
        <v>0.6</v>
      </c>
      <c r="AD32" s="56"/>
      <c r="AE32" s="54"/>
      <c r="AF32" s="56"/>
      <c r="AG32" s="55"/>
      <c r="AH32" s="56"/>
      <c r="AI32" s="54"/>
      <c r="AJ32" s="56"/>
      <c r="AK32" s="55"/>
      <c r="AL32" s="56"/>
      <c r="AM32" s="54"/>
      <c r="AN32" s="56"/>
      <c r="AO32" s="59"/>
      <c r="AP32" s="60"/>
      <c r="AQ32" s="61"/>
      <c r="AR32" s="62"/>
      <c r="AS32" s="38" t="s">
        <v>545</v>
      </c>
      <c r="AT32" s="63">
        <v>2.4840000000000001E-2</v>
      </c>
      <c r="AU32" s="64">
        <v>0</v>
      </c>
      <c r="AV32" s="64">
        <f>PRODUCT(AT32,CU32)</f>
        <v>101.84400000000001</v>
      </c>
      <c r="AW32" s="53"/>
      <c r="AX32" s="65">
        <v>2.537E-2</v>
      </c>
      <c r="AY32" s="64">
        <v>0</v>
      </c>
      <c r="AZ32" s="64">
        <f>PRODUCT(AX32,CU32)</f>
        <v>104.017</v>
      </c>
      <c r="BA32" s="53"/>
      <c r="BB32" s="63">
        <v>1.736E-2</v>
      </c>
      <c r="BC32" s="64">
        <v>0</v>
      </c>
      <c r="BD32" s="64">
        <f>PRODUCT(BB32,CU32)</f>
        <v>71.176000000000002</v>
      </c>
      <c r="BE32" s="53"/>
      <c r="BF32" s="36" t="s">
        <v>665</v>
      </c>
      <c r="BG32" s="38"/>
      <c r="BH32" s="63">
        <v>1.0540000000000001E-2</v>
      </c>
      <c r="BI32" s="64">
        <v>0</v>
      </c>
      <c r="BJ32" s="64">
        <f>PRODUCT(BH32,CU32)</f>
        <v>43.214000000000006</v>
      </c>
      <c r="BK32" s="53"/>
      <c r="BL32" s="66">
        <v>145</v>
      </c>
      <c r="BM32" s="62"/>
      <c r="BN32" s="37"/>
      <c r="BO32" s="38"/>
      <c r="BP32" s="36"/>
      <c r="BQ32" s="38"/>
      <c r="BR32" s="37"/>
      <c r="BS32" s="38"/>
      <c r="BT32" s="35"/>
      <c r="BU32" s="38"/>
      <c r="BV32" s="66"/>
      <c r="BW32" s="62"/>
      <c r="BX32" s="66"/>
      <c r="BY32" s="62"/>
      <c r="BZ32" s="67"/>
      <c r="CA32" s="61"/>
      <c r="CB32" s="62"/>
      <c r="CC32" s="37"/>
      <c r="CD32" s="38"/>
      <c r="CE32" s="64"/>
      <c r="CF32" s="53"/>
      <c r="CG32" s="37"/>
      <c r="CH32" s="38"/>
      <c r="CI32" s="36"/>
      <c r="CJ32" s="38"/>
      <c r="CK32" s="37"/>
      <c r="CL32" s="38"/>
      <c r="CM32" s="36"/>
      <c r="CN32" s="38"/>
      <c r="CO32" s="37"/>
      <c r="CP32" s="38"/>
      <c r="CQ32" s="37"/>
      <c r="CR32" s="38"/>
      <c r="CS32" s="37"/>
      <c r="CT32" s="38"/>
      <c r="CU32" s="66">
        <v>4100</v>
      </c>
      <c r="CV32" s="61"/>
      <c r="CW32" s="35" t="s">
        <v>266</v>
      </c>
      <c r="CX32" s="68">
        <v>39083</v>
      </c>
      <c r="CY32" s="37" t="s">
        <v>597</v>
      </c>
      <c r="CZ32" s="35">
        <v>30</v>
      </c>
      <c r="DA32" s="60">
        <v>0.15</v>
      </c>
      <c r="DB32" s="69">
        <v>13000</v>
      </c>
      <c r="DC32" s="60"/>
      <c r="DD32" s="69"/>
      <c r="DE32" s="60"/>
      <c r="DF32" s="70">
        <v>59</v>
      </c>
      <c r="DG32" s="70"/>
      <c r="DH32" s="71"/>
      <c r="DI32" s="64"/>
      <c r="DJ32" s="35" t="s">
        <v>666</v>
      </c>
      <c r="DK32" s="61"/>
      <c r="DL32" s="61"/>
      <c r="DM32" s="72"/>
      <c r="DN32" s="64"/>
      <c r="DO32" s="72"/>
      <c r="DP32" s="64">
        <v>4.1399999999999997</v>
      </c>
      <c r="DQ32" s="72"/>
      <c r="DR32" s="64"/>
      <c r="DS32" s="70">
        <v>-1</v>
      </c>
      <c r="DT32" s="36" t="s">
        <v>541</v>
      </c>
      <c r="DU32" s="66"/>
      <c r="DV32" s="62"/>
      <c r="DW32" s="62"/>
      <c r="DX32" s="73">
        <v>39083</v>
      </c>
      <c r="DY32" s="4"/>
      <c r="DZ32" s="74"/>
      <c r="EA32" s="241" t="s">
        <v>667</v>
      </c>
    </row>
    <row r="33" spans="1:131" x14ac:dyDescent="0.4">
      <c r="A33" s="18" t="s">
        <v>83</v>
      </c>
      <c r="B33" s="19" t="s">
        <v>90</v>
      </c>
      <c r="C33" s="8">
        <v>49.153866000000001</v>
      </c>
      <c r="D33" s="8">
        <v>8.1537059999999997</v>
      </c>
      <c r="E33" s="7" t="s">
        <v>46</v>
      </c>
      <c r="F33" s="19" t="s">
        <v>47</v>
      </c>
      <c r="G33" s="7" t="s">
        <v>91</v>
      </c>
      <c r="H33" s="4" t="s">
        <v>75</v>
      </c>
      <c r="I33" s="52"/>
      <c r="J33" s="53"/>
      <c r="K33" s="36"/>
      <c r="L33" s="38"/>
      <c r="M33" s="101">
        <v>0.05</v>
      </c>
      <c r="N33" s="55"/>
      <c r="O33" s="56">
        <f>AVERAGE(M33,N33)</f>
        <v>0.05</v>
      </c>
      <c r="P33" s="59"/>
      <c r="Q33" s="59"/>
      <c r="R33" s="60"/>
      <c r="S33" s="54"/>
      <c r="T33" s="55"/>
      <c r="U33" s="56"/>
      <c r="V33" s="55"/>
      <c r="W33" s="55"/>
      <c r="X33" s="56"/>
      <c r="Y33" s="54"/>
      <c r="Z33" s="56"/>
      <c r="AA33" s="54"/>
      <c r="AB33" s="56"/>
      <c r="AC33" s="54"/>
      <c r="AD33" s="56"/>
      <c r="AE33" s="54"/>
      <c r="AF33" s="56"/>
      <c r="AG33" s="55"/>
      <c r="AH33" s="56"/>
      <c r="AI33" s="54"/>
      <c r="AJ33" s="56"/>
      <c r="AK33" s="55"/>
      <c r="AL33" s="56"/>
      <c r="AM33" s="54"/>
      <c r="AN33" s="56"/>
      <c r="AO33" s="59"/>
      <c r="AP33" s="60"/>
      <c r="AQ33" s="61"/>
      <c r="AR33" s="62"/>
      <c r="AS33" s="38" t="s">
        <v>620</v>
      </c>
      <c r="AT33" s="63"/>
      <c r="AU33" s="64"/>
      <c r="AV33" s="64"/>
      <c r="AW33" s="53"/>
      <c r="AX33" s="65"/>
      <c r="AY33" s="64"/>
      <c r="AZ33" s="64"/>
      <c r="BA33" s="53"/>
      <c r="BB33" s="63"/>
      <c r="BC33" s="64"/>
      <c r="BD33" s="64"/>
      <c r="BE33" s="53"/>
      <c r="BF33" s="36" t="s">
        <v>641</v>
      </c>
      <c r="BG33" s="38"/>
      <c r="BH33" s="63"/>
      <c r="BI33" s="64"/>
      <c r="BJ33" s="64"/>
      <c r="BK33" s="53"/>
      <c r="BL33" s="110">
        <v>165</v>
      </c>
      <c r="BM33" s="62"/>
      <c r="BN33" s="37"/>
      <c r="BO33" s="38"/>
      <c r="BP33" s="36"/>
      <c r="BQ33" s="38"/>
      <c r="BR33" s="37"/>
      <c r="BS33" s="38"/>
      <c r="BT33" s="35"/>
      <c r="BU33" s="38"/>
      <c r="BV33" s="66"/>
      <c r="BW33" s="62"/>
      <c r="BX33" s="66"/>
      <c r="BY33" s="62"/>
      <c r="BZ33" s="67"/>
      <c r="CA33" s="61"/>
      <c r="CB33" s="62"/>
      <c r="CC33" s="37"/>
      <c r="CD33" s="38"/>
      <c r="CE33" s="64"/>
      <c r="CF33" s="53"/>
      <c r="CG33" s="37"/>
      <c r="CH33" s="38"/>
      <c r="CI33" s="36"/>
      <c r="CJ33" s="38"/>
      <c r="CK33" s="37"/>
      <c r="CL33" s="38"/>
      <c r="CM33" s="36"/>
      <c r="CN33" s="38"/>
      <c r="CO33" s="37"/>
      <c r="CP33" s="38"/>
      <c r="CQ33" s="37"/>
      <c r="CR33" s="38"/>
      <c r="CS33" s="37"/>
      <c r="CT33" s="38"/>
      <c r="CU33" s="66">
        <v>3600</v>
      </c>
      <c r="CV33" s="61">
        <v>3800</v>
      </c>
      <c r="CW33" s="134" t="s">
        <v>266</v>
      </c>
      <c r="CX33" s="68">
        <v>40269</v>
      </c>
      <c r="CY33" s="109"/>
      <c r="CZ33" s="134">
        <v>45</v>
      </c>
      <c r="DA33" s="60"/>
      <c r="DB33" s="69"/>
      <c r="DC33" s="60"/>
      <c r="DD33" s="112">
        <v>9000</v>
      </c>
      <c r="DE33" s="60"/>
      <c r="DF33" s="116">
        <v>9</v>
      </c>
      <c r="DG33" s="70"/>
      <c r="DH33" s="71"/>
      <c r="DI33" s="64"/>
      <c r="DJ33" s="35" t="s">
        <v>668</v>
      </c>
      <c r="DK33" s="104">
        <v>3500</v>
      </c>
      <c r="DL33" s="104">
        <v>5000</v>
      </c>
      <c r="DM33" s="72"/>
      <c r="DN33" s="64"/>
      <c r="DO33" s="72"/>
      <c r="DP33" s="64"/>
      <c r="DQ33" s="72"/>
      <c r="DR33" s="64"/>
      <c r="DS33" s="70">
        <v>2.4</v>
      </c>
      <c r="DT33" s="36" t="s">
        <v>581</v>
      </c>
      <c r="DU33" s="136"/>
      <c r="DV33" s="137"/>
      <c r="DW33" s="62"/>
      <c r="DX33" s="73">
        <v>40269</v>
      </c>
      <c r="DY33" s="138"/>
      <c r="DZ33" s="139" t="s">
        <v>669</v>
      </c>
      <c r="EA33" s="243" t="s">
        <v>670</v>
      </c>
    </row>
    <row r="34" spans="1:131" x14ac:dyDescent="0.4">
      <c r="A34" s="18" t="s">
        <v>83</v>
      </c>
      <c r="B34" s="20" t="s">
        <v>90</v>
      </c>
      <c r="C34" s="8">
        <v>49.153866000000001</v>
      </c>
      <c r="D34" s="8">
        <v>8.1537059999999997</v>
      </c>
      <c r="E34" s="7" t="s">
        <v>46</v>
      </c>
      <c r="F34" s="20" t="s">
        <v>92</v>
      </c>
      <c r="G34" s="7" t="s">
        <v>91</v>
      </c>
      <c r="H34" s="4" t="s">
        <v>75</v>
      </c>
      <c r="I34" s="52"/>
      <c r="J34" s="53"/>
      <c r="K34" s="36"/>
      <c r="L34" s="38"/>
      <c r="M34" s="101">
        <v>0.05</v>
      </c>
      <c r="N34" s="55"/>
      <c r="O34" s="56">
        <f>AVERAGE(M34,N34)</f>
        <v>0.05</v>
      </c>
      <c r="P34" s="59"/>
      <c r="Q34" s="59"/>
      <c r="R34" s="60"/>
      <c r="S34" s="54"/>
      <c r="T34" s="55"/>
      <c r="U34" s="56"/>
      <c r="V34" s="55"/>
      <c r="W34" s="55"/>
      <c r="X34" s="56"/>
      <c r="Y34" s="54"/>
      <c r="Z34" s="56"/>
      <c r="AA34" s="54"/>
      <c r="AB34" s="56"/>
      <c r="AC34" s="54"/>
      <c r="AD34" s="56"/>
      <c r="AE34" s="54"/>
      <c r="AF34" s="56"/>
      <c r="AG34" s="55"/>
      <c r="AH34" s="56"/>
      <c r="AI34" s="54"/>
      <c r="AJ34" s="56"/>
      <c r="AK34" s="55"/>
      <c r="AL34" s="56"/>
      <c r="AM34" s="54"/>
      <c r="AN34" s="56"/>
      <c r="AO34" s="59"/>
      <c r="AP34" s="60"/>
      <c r="AQ34" s="61"/>
      <c r="AR34" s="62"/>
      <c r="AS34" s="38" t="s">
        <v>620</v>
      </c>
      <c r="AT34" s="63"/>
      <c r="AU34" s="64"/>
      <c r="AV34" s="64"/>
      <c r="AW34" s="53"/>
      <c r="AX34" s="65"/>
      <c r="AY34" s="64"/>
      <c r="AZ34" s="64"/>
      <c r="BA34" s="53"/>
      <c r="BB34" s="63"/>
      <c r="BC34" s="64"/>
      <c r="BD34" s="64"/>
      <c r="BE34" s="53"/>
      <c r="BF34" s="36" t="s">
        <v>641</v>
      </c>
      <c r="BG34" s="38"/>
      <c r="BH34" s="63"/>
      <c r="BI34" s="64"/>
      <c r="BJ34" s="64"/>
      <c r="BK34" s="53"/>
      <c r="BL34" s="110">
        <v>165</v>
      </c>
      <c r="BM34" s="62"/>
      <c r="BN34" s="37"/>
      <c r="BO34" s="38"/>
      <c r="BP34" s="36"/>
      <c r="BQ34" s="38"/>
      <c r="BR34" s="37"/>
      <c r="BS34" s="38"/>
      <c r="BT34" s="35"/>
      <c r="BU34" s="38"/>
      <c r="BV34" s="66"/>
      <c r="BW34" s="62"/>
      <c r="BX34" s="66"/>
      <c r="BY34" s="62"/>
      <c r="BZ34" s="67"/>
      <c r="CA34" s="61"/>
      <c r="CB34" s="62"/>
      <c r="CC34" s="37"/>
      <c r="CD34" s="38"/>
      <c r="CE34" s="64"/>
      <c r="CF34" s="53"/>
      <c r="CG34" s="37"/>
      <c r="CH34" s="38"/>
      <c r="CI34" s="36"/>
      <c r="CJ34" s="38"/>
      <c r="CK34" s="37"/>
      <c r="CL34" s="38"/>
      <c r="CM34" s="36"/>
      <c r="CN34" s="38"/>
      <c r="CO34" s="37"/>
      <c r="CP34" s="38"/>
      <c r="CQ34" s="37"/>
      <c r="CR34" s="38"/>
      <c r="CS34" s="37"/>
      <c r="CT34" s="38"/>
      <c r="CU34" s="66">
        <v>3600</v>
      </c>
      <c r="CV34" s="61">
        <v>3800</v>
      </c>
      <c r="CW34" s="134" t="s">
        <v>671</v>
      </c>
      <c r="CX34" s="68">
        <v>40269</v>
      </c>
      <c r="CY34" s="109"/>
      <c r="CZ34" s="134">
        <v>45</v>
      </c>
      <c r="DA34" s="60"/>
      <c r="DB34" s="69"/>
      <c r="DC34" s="60"/>
      <c r="DD34" s="112">
        <v>0</v>
      </c>
      <c r="DE34" s="60"/>
      <c r="DF34" s="116">
        <v>1.2</v>
      </c>
      <c r="DG34" s="70"/>
      <c r="DH34" s="71"/>
      <c r="DI34" s="64"/>
      <c r="DJ34" s="35" t="s">
        <v>668</v>
      </c>
      <c r="DK34" s="104">
        <v>3500</v>
      </c>
      <c r="DL34" s="104">
        <v>5000</v>
      </c>
      <c r="DM34" s="72"/>
      <c r="DN34" s="64"/>
      <c r="DO34" s="72"/>
      <c r="DP34" s="64"/>
      <c r="DQ34" s="72"/>
      <c r="DR34" s="64"/>
      <c r="DS34" s="116">
        <v>2.1</v>
      </c>
      <c r="DT34" s="36" t="s">
        <v>581</v>
      </c>
      <c r="DU34" s="136"/>
      <c r="DV34" s="137"/>
      <c r="DW34" s="62"/>
      <c r="DX34" s="115">
        <v>41244</v>
      </c>
      <c r="DY34" s="138"/>
      <c r="DZ34" s="139" t="s">
        <v>669</v>
      </c>
      <c r="EA34" s="243" t="s">
        <v>670</v>
      </c>
    </row>
    <row r="35" spans="1:131" x14ac:dyDescent="0.4">
      <c r="A35" s="4" t="s">
        <v>83</v>
      </c>
      <c r="B35" s="5" t="s">
        <v>93</v>
      </c>
      <c r="C35" s="8">
        <v>49.186672000000002</v>
      </c>
      <c r="D35" s="8">
        <v>8.1229119999999995</v>
      </c>
      <c r="E35" s="7" t="s">
        <v>46</v>
      </c>
      <c r="F35" s="5" t="s">
        <v>92</v>
      </c>
      <c r="G35" s="14" t="s">
        <v>91</v>
      </c>
      <c r="H35" s="4" t="s">
        <v>94</v>
      </c>
      <c r="I35" s="52"/>
      <c r="J35" s="53"/>
      <c r="K35" s="36"/>
      <c r="L35" s="38"/>
      <c r="M35" s="101">
        <v>0.01</v>
      </c>
      <c r="N35" s="55"/>
      <c r="O35" s="56">
        <f>AVERAGE(M35,N35)</f>
        <v>0.01</v>
      </c>
      <c r="P35" s="36"/>
      <c r="Q35" s="36"/>
      <c r="R35" s="38"/>
      <c r="S35" s="54"/>
      <c r="T35" s="55"/>
      <c r="U35" s="56"/>
      <c r="V35" s="55"/>
      <c r="W35" s="55"/>
      <c r="X35" s="56"/>
      <c r="Y35" s="54"/>
      <c r="Z35" s="56"/>
      <c r="AA35" s="54"/>
      <c r="AB35" s="56"/>
      <c r="AC35" s="54"/>
      <c r="AD35" s="56"/>
      <c r="AE35" s="54"/>
      <c r="AF35" s="56"/>
      <c r="AG35" s="55"/>
      <c r="AH35" s="56"/>
      <c r="AI35" s="54"/>
      <c r="AJ35" s="56"/>
      <c r="AK35" s="55"/>
      <c r="AL35" s="56"/>
      <c r="AM35" s="54"/>
      <c r="AN35" s="56"/>
      <c r="AO35" s="59"/>
      <c r="AP35" s="60"/>
      <c r="AQ35" s="61"/>
      <c r="AR35" s="62"/>
      <c r="AS35" s="38"/>
      <c r="AT35" s="63"/>
      <c r="AU35" s="64"/>
      <c r="AV35" s="64"/>
      <c r="AW35" s="53"/>
      <c r="AX35" s="65"/>
      <c r="AY35" s="64"/>
      <c r="AZ35" s="64"/>
      <c r="BA35" s="53"/>
      <c r="BB35" s="63"/>
      <c r="BC35" s="64"/>
      <c r="BD35" s="64"/>
      <c r="BE35" s="53"/>
      <c r="BF35" s="99" t="s">
        <v>607</v>
      </c>
      <c r="BG35" s="38"/>
      <c r="BH35" s="63"/>
      <c r="BI35" s="64"/>
      <c r="BJ35" s="64"/>
      <c r="BK35" s="53"/>
      <c r="BL35" s="110">
        <v>160</v>
      </c>
      <c r="BM35" s="105">
        <v>170</v>
      </c>
      <c r="BN35" s="109" t="s">
        <v>641</v>
      </c>
      <c r="BO35" s="38"/>
      <c r="BP35" s="36"/>
      <c r="BQ35" s="38"/>
      <c r="BR35" s="37"/>
      <c r="BS35" s="38"/>
      <c r="BT35" s="35"/>
      <c r="BU35" s="38"/>
      <c r="BV35" s="66"/>
      <c r="BW35" s="62"/>
      <c r="BX35" s="66"/>
      <c r="BY35" s="62"/>
      <c r="BZ35" s="67"/>
      <c r="CA35" s="61"/>
      <c r="CB35" s="62"/>
      <c r="CC35" s="37"/>
      <c r="CD35" s="38"/>
      <c r="CE35" s="64"/>
      <c r="CF35" s="53"/>
      <c r="CG35" s="37"/>
      <c r="CH35" s="38"/>
      <c r="CI35" s="36"/>
      <c r="CJ35" s="38"/>
      <c r="CK35" s="37"/>
      <c r="CL35" s="38"/>
      <c r="CM35" s="36"/>
      <c r="CN35" s="38"/>
      <c r="CO35" s="37"/>
      <c r="CP35" s="38"/>
      <c r="CQ35" s="37"/>
      <c r="CR35" s="38"/>
      <c r="CS35" s="37"/>
      <c r="CT35" s="38"/>
      <c r="CU35" s="66">
        <v>3000</v>
      </c>
      <c r="CV35" s="61"/>
      <c r="CW35" s="134" t="s">
        <v>671</v>
      </c>
      <c r="CX35" s="68">
        <v>39083</v>
      </c>
      <c r="CY35" s="37"/>
      <c r="CZ35" s="35"/>
      <c r="DA35" s="60">
        <v>7.0000000000000007E-2</v>
      </c>
      <c r="DB35" s="69"/>
      <c r="DC35" s="60"/>
      <c r="DD35" s="112">
        <v>0</v>
      </c>
      <c r="DE35" s="60"/>
      <c r="DF35" s="70">
        <v>6</v>
      </c>
      <c r="DG35" s="70"/>
      <c r="DH35" s="71">
        <v>39479</v>
      </c>
      <c r="DI35" s="64"/>
      <c r="DJ35" s="35" t="s">
        <v>672</v>
      </c>
      <c r="DK35" s="61"/>
      <c r="DL35" s="61"/>
      <c r="DM35" s="72"/>
      <c r="DN35" s="64"/>
      <c r="DO35" s="72"/>
      <c r="DP35" s="64"/>
      <c r="DQ35" s="72"/>
      <c r="DR35" s="64"/>
      <c r="DS35" s="70">
        <v>2.7</v>
      </c>
      <c r="DT35" s="36" t="s">
        <v>581</v>
      </c>
      <c r="DU35" s="66">
        <v>2300</v>
      </c>
      <c r="DV35" s="62">
        <v>3300</v>
      </c>
      <c r="DW35" s="62">
        <v>1750</v>
      </c>
      <c r="DX35" s="73">
        <v>40040</v>
      </c>
      <c r="DY35" s="21"/>
      <c r="DZ35" s="140" t="s">
        <v>673</v>
      </c>
      <c r="EA35" s="241" t="s">
        <v>674</v>
      </c>
    </row>
    <row r="36" spans="1:131" x14ac:dyDescent="0.4">
      <c r="A36" s="4" t="s">
        <v>83</v>
      </c>
      <c r="B36" s="5" t="s">
        <v>95</v>
      </c>
      <c r="C36" s="8">
        <v>48.057059000000002</v>
      </c>
      <c r="D36" s="8">
        <v>11.59727</v>
      </c>
      <c r="E36" s="7" t="s">
        <v>46</v>
      </c>
      <c r="F36" s="5" t="s">
        <v>92</v>
      </c>
      <c r="G36" s="7" t="s">
        <v>96</v>
      </c>
      <c r="H36" s="4" t="s">
        <v>97</v>
      </c>
      <c r="I36" s="52"/>
      <c r="J36" s="53"/>
      <c r="K36" s="36">
        <v>2620</v>
      </c>
      <c r="L36" s="38">
        <v>2670</v>
      </c>
      <c r="M36" s="54">
        <v>4.7E-2</v>
      </c>
      <c r="N36" s="55">
        <v>0.12</v>
      </c>
      <c r="O36" s="56">
        <v>0.08</v>
      </c>
      <c r="P36" s="59">
        <v>1.3E-14</v>
      </c>
      <c r="Q36" s="59">
        <v>3.8999999999999998E-14</v>
      </c>
      <c r="R36" s="60">
        <f>AVERAGE(P36,Q36)</f>
        <v>2.6E-14</v>
      </c>
      <c r="S36" s="54">
        <v>20.7</v>
      </c>
      <c r="T36" s="55">
        <v>26.1</v>
      </c>
      <c r="U36" s="56">
        <f>AVERAGE(S36,T36)</f>
        <v>23.4</v>
      </c>
      <c r="V36" s="55">
        <v>0.22</v>
      </c>
      <c r="W36" s="55">
        <v>0.26</v>
      </c>
      <c r="X36" s="56">
        <f>AVERAGE(V36,W36)</f>
        <v>0.24</v>
      </c>
      <c r="Y36" s="54">
        <f>S36/(3*(1-2*V36))</f>
        <v>12.321428571428569</v>
      </c>
      <c r="Z36" s="56">
        <f>T36/(3*(1-2*W36))</f>
        <v>18.125</v>
      </c>
      <c r="AA36" s="54">
        <f>S36/(2*(1+V36))</f>
        <v>8.4836065573770494</v>
      </c>
      <c r="AB36" s="56">
        <f>T36/(2*(1+W36))</f>
        <v>10.357142857142858</v>
      </c>
      <c r="AC36" s="54"/>
      <c r="AD36" s="56"/>
      <c r="AE36" s="54"/>
      <c r="AF36" s="56"/>
      <c r="AG36" s="55"/>
      <c r="AH36" s="56"/>
      <c r="AI36" s="54">
        <v>74.900000000000006</v>
      </c>
      <c r="AJ36" s="56">
        <v>81.900000000000006</v>
      </c>
      <c r="AK36" s="55">
        <v>7.5</v>
      </c>
      <c r="AL36" s="56">
        <v>8.5</v>
      </c>
      <c r="AM36" s="54"/>
      <c r="AN36" s="56"/>
      <c r="AO36" s="59">
        <v>8.0000000000000007E-5</v>
      </c>
      <c r="AP36" s="60">
        <v>1.1E-4</v>
      </c>
      <c r="AQ36" s="61">
        <v>3630</v>
      </c>
      <c r="AR36" s="62">
        <v>3860</v>
      </c>
      <c r="AS36" s="38" t="s">
        <v>535</v>
      </c>
      <c r="AT36" s="63">
        <v>2.5999999999999999E-2</v>
      </c>
      <c r="AU36" s="64">
        <v>-7</v>
      </c>
      <c r="AV36" s="64">
        <f>PRODUCT(AT36,CU36)+AU36</f>
        <v>80.099999999999994</v>
      </c>
      <c r="AW36" s="53">
        <f>PRODUCT(AT36,CV36)+AU36</f>
        <v>86.6</v>
      </c>
      <c r="AX36" s="65">
        <v>2.6599999999999999E-2</v>
      </c>
      <c r="AY36" s="64">
        <v>0</v>
      </c>
      <c r="AZ36" s="64">
        <f>PRODUCT(AX36,CU36)+AY36</f>
        <v>89.11</v>
      </c>
      <c r="BA36" s="53">
        <f>PRODUCT(AX36,CV36)+AY36</f>
        <v>95.759999999999991</v>
      </c>
      <c r="BB36" s="63">
        <v>1.47E-2</v>
      </c>
      <c r="BC36" s="64">
        <v>0</v>
      </c>
      <c r="BD36" s="64">
        <f>PRODUCT(BB36,CU36)+BC36</f>
        <v>49.244999999999997</v>
      </c>
      <c r="BE36" s="53">
        <f>PRODUCT(BB36,CV36)+BC36</f>
        <v>52.92</v>
      </c>
      <c r="BF36" s="36" t="s">
        <v>675</v>
      </c>
      <c r="BG36" s="38"/>
      <c r="BH36" s="63">
        <v>8.9999999999999993E-3</v>
      </c>
      <c r="BI36" s="64">
        <v>0</v>
      </c>
      <c r="BJ36" s="64">
        <f>PRODUCT(BH36,CU36)</f>
        <v>30.15</v>
      </c>
      <c r="BK36" s="53">
        <f>PRODUCT(BH36,CV36)</f>
        <v>32.4</v>
      </c>
      <c r="BL36" s="66">
        <v>123</v>
      </c>
      <c r="BM36" s="62">
        <v>134</v>
      </c>
      <c r="BN36" s="37" t="s">
        <v>676</v>
      </c>
      <c r="BO36" s="38" t="s">
        <v>677</v>
      </c>
      <c r="BP36" s="36"/>
      <c r="BQ36" s="38">
        <v>90</v>
      </c>
      <c r="BR36" s="37"/>
      <c r="BS36" s="38"/>
      <c r="BT36" s="35"/>
      <c r="BU36" s="38"/>
      <c r="BV36" s="66"/>
      <c r="BW36" s="62"/>
      <c r="BX36" s="66"/>
      <c r="BY36" s="62"/>
      <c r="BZ36" s="67"/>
      <c r="CA36" s="61"/>
      <c r="CB36" s="62"/>
      <c r="CC36" s="37"/>
      <c r="CD36" s="38"/>
      <c r="CE36" s="64"/>
      <c r="CF36" s="53"/>
      <c r="CG36" s="37"/>
      <c r="CH36" s="60">
        <v>1E-14</v>
      </c>
      <c r="CI36" s="36"/>
      <c r="CJ36" s="38"/>
      <c r="CK36" s="37"/>
      <c r="CL36" s="38"/>
      <c r="CM36" s="36"/>
      <c r="CN36" s="38"/>
      <c r="CO36" s="37"/>
      <c r="CP36" s="38"/>
      <c r="CQ36" s="37"/>
      <c r="CR36" s="38"/>
      <c r="CS36" s="37"/>
      <c r="CT36" s="38"/>
      <c r="CU36" s="66">
        <v>3350</v>
      </c>
      <c r="CV36" s="61">
        <v>3600</v>
      </c>
      <c r="CW36" s="35"/>
      <c r="CX36" s="68">
        <v>39356</v>
      </c>
      <c r="CY36" s="37" t="s">
        <v>597</v>
      </c>
      <c r="CZ36" s="35">
        <v>110</v>
      </c>
      <c r="DA36" s="60">
        <v>0.12</v>
      </c>
      <c r="DB36" s="69"/>
      <c r="DC36" s="60"/>
      <c r="DD36" s="69"/>
      <c r="DE36" s="60"/>
      <c r="DF36" s="70">
        <v>2.5</v>
      </c>
      <c r="DG36" s="70"/>
      <c r="DH36" s="71">
        <v>39479</v>
      </c>
      <c r="DI36" s="64"/>
      <c r="DJ36" s="35" t="s">
        <v>678</v>
      </c>
      <c r="DK36" s="61">
        <v>2100</v>
      </c>
      <c r="DL36" s="61">
        <v>5100</v>
      </c>
      <c r="DM36" s="72"/>
      <c r="DN36" s="64"/>
      <c r="DO36" s="72"/>
      <c r="DP36" s="64">
        <v>0.9</v>
      </c>
      <c r="DQ36" s="72"/>
      <c r="DR36" s="64"/>
      <c r="DS36" s="70">
        <v>2.4</v>
      </c>
      <c r="DT36" s="36" t="s">
        <v>581</v>
      </c>
      <c r="DU36" s="66"/>
      <c r="DV36" s="62">
        <v>4000</v>
      </c>
      <c r="DW36" s="62">
        <v>700</v>
      </c>
      <c r="DX36" s="73">
        <v>39632</v>
      </c>
      <c r="DY36" s="114"/>
      <c r="DZ36" s="74" t="s">
        <v>679</v>
      </c>
      <c r="EA36" s="241" t="s">
        <v>680</v>
      </c>
    </row>
    <row r="37" spans="1:131" x14ac:dyDescent="0.4">
      <c r="A37" s="4" t="s">
        <v>98</v>
      </c>
      <c r="B37" s="17" t="s">
        <v>99</v>
      </c>
      <c r="C37" s="8">
        <v>64.037073000000007</v>
      </c>
      <c r="D37" s="8">
        <v>-21.393795000000001</v>
      </c>
      <c r="E37" s="7" t="s">
        <v>46</v>
      </c>
      <c r="F37" s="5" t="s">
        <v>100</v>
      </c>
      <c r="G37" s="7"/>
      <c r="H37" s="4" t="s">
        <v>101</v>
      </c>
      <c r="I37" s="52"/>
      <c r="J37" s="53">
        <v>18.600000000000001</v>
      </c>
      <c r="K37" s="36"/>
      <c r="L37" s="38">
        <v>2700</v>
      </c>
      <c r="M37" s="54"/>
      <c r="N37" s="55"/>
      <c r="O37" s="56">
        <v>0.1</v>
      </c>
      <c r="P37" s="36"/>
      <c r="Q37" s="36"/>
      <c r="R37" s="60">
        <v>2.9999999999999998E-14</v>
      </c>
      <c r="S37" s="54"/>
      <c r="T37" s="55">
        <v>25</v>
      </c>
      <c r="U37" s="102">
        <f>AVERAGE(S37,T37)</f>
        <v>25</v>
      </c>
      <c r="V37" s="103">
        <v>0.25</v>
      </c>
      <c r="W37" s="55"/>
      <c r="X37" s="56">
        <f>AVERAGE(V37,W37)</f>
        <v>0.25</v>
      </c>
      <c r="Y37" s="54"/>
      <c r="Z37" s="56">
        <f>T37/(3*(1-2*W37))</f>
        <v>8.3333333333333339</v>
      </c>
      <c r="AA37" s="54"/>
      <c r="AB37" s="56">
        <f>T37/(2*(1+W37))</f>
        <v>12.5</v>
      </c>
      <c r="AC37" s="54"/>
      <c r="AD37" s="56">
        <v>1</v>
      </c>
      <c r="AE37" s="101">
        <v>22</v>
      </c>
      <c r="AF37" s="102">
        <v>46</v>
      </c>
      <c r="AG37" s="103">
        <v>30</v>
      </c>
      <c r="AH37" s="56"/>
      <c r="AI37" s="101">
        <v>155</v>
      </c>
      <c r="AJ37" s="102">
        <v>155</v>
      </c>
      <c r="AK37" s="55"/>
      <c r="AL37" s="56"/>
      <c r="AM37" s="54"/>
      <c r="AN37" s="56">
        <v>2.1</v>
      </c>
      <c r="AO37" s="141">
        <v>2.0000000000000002E-5</v>
      </c>
      <c r="AP37" s="58">
        <v>6.0000000000000002E-5</v>
      </c>
      <c r="AQ37" s="104"/>
      <c r="AR37" s="105"/>
      <c r="AS37" s="100" t="s">
        <v>681</v>
      </c>
      <c r="AT37" s="106">
        <v>2.9499999999999998E-2</v>
      </c>
      <c r="AU37" s="107">
        <v>0</v>
      </c>
      <c r="AV37" s="64">
        <f>PRODUCT(AT37,CU37)</f>
        <v>22.419999999999998</v>
      </c>
      <c r="AW37" s="53">
        <f>PRODUCT(AT37,CV37)</f>
        <v>66.375</v>
      </c>
      <c r="AX37" s="108">
        <v>7.3499999999999996E-2</v>
      </c>
      <c r="AY37" s="107">
        <v>0</v>
      </c>
      <c r="AZ37" s="64">
        <f>PRODUCT(AX37,CU37)+AY37</f>
        <v>55.86</v>
      </c>
      <c r="BA37" s="53">
        <f>PRODUCT(AX37,CV37)+AY37</f>
        <v>165.375</v>
      </c>
      <c r="BB37" s="63">
        <v>2.1000000000000001E-2</v>
      </c>
      <c r="BC37" s="64">
        <v>0</v>
      </c>
      <c r="BD37" s="64">
        <f>PRODUCT(BB37,CU37)+BC37</f>
        <v>15.96</v>
      </c>
      <c r="BE37" s="53">
        <f>PRODUCT(BB37,CV37)</f>
        <v>47.25</v>
      </c>
      <c r="BF37" s="99" t="s">
        <v>682</v>
      </c>
      <c r="BG37" s="100" t="s">
        <v>683</v>
      </c>
      <c r="BH37" s="106">
        <v>9.1000000000000004E-3</v>
      </c>
      <c r="BI37" s="107">
        <v>0</v>
      </c>
      <c r="BJ37" s="64">
        <f>PRODUCT(BH37,CU37)</f>
        <v>6.9160000000000004</v>
      </c>
      <c r="BK37" s="53">
        <f>PRODUCT(BH37,CV37)</f>
        <v>20.475000000000001</v>
      </c>
      <c r="BL37" s="66"/>
      <c r="BM37" s="105">
        <v>235</v>
      </c>
      <c r="BN37" s="109" t="s">
        <v>684</v>
      </c>
      <c r="BO37" s="38"/>
      <c r="BP37" s="36">
        <v>72</v>
      </c>
      <c r="BQ37" s="38"/>
      <c r="BR37" s="37"/>
      <c r="BS37" s="38"/>
      <c r="BT37" s="35"/>
      <c r="BU37" s="100" t="s">
        <v>535</v>
      </c>
      <c r="BV37" s="66"/>
      <c r="BW37" s="62"/>
      <c r="BX37" s="66"/>
      <c r="BY37" s="62"/>
      <c r="BZ37" s="67"/>
      <c r="CA37" s="61"/>
      <c r="CB37" s="62"/>
      <c r="CC37" s="37"/>
      <c r="CD37" s="38"/>
      <c r="CE37" s="64"/>
      <c r="CF37" s="53"/>
      <c r="CG37" s="37"/>
      <c r="CH37" s="38"/>
      <c r="CI37" s="36"/>
      <c r="CJ37" s="38"/>
      <c r="CK37" s="37"/>
      <c r="CL37" s="38"/>
      <c r="CM37" s="36"/>
      <c r="CN37" s="38"/>
      <c r="CO37" s="37"/>
      <c r="CP37" s="38"/>
      <c r="CQ37" s="37"/>
      <c r="CR37" s="38"/>
      <c r="CS37" s="37"/>
      <c r="CT37" s="38"/>
      <c r="CU37" s="110">
        <v>760</v>
      </c>
      <c r="CV37" s="104">
        <v>2250</v>
      </c>
      <c r="CW37" s="35"/>
      <c r="CX37" s="68">
        <v>40787</v>
      </c>
      <c r="CY37" s="109"/>
      <c r="CZ37" s="134">
        <v>70</v>
      </c>
      <c r="DA37" s="60">
        <v>0.55000000000000004</v>
      </c>
      <c r="DB37" s="69"/>
      <c r="DC37" s="60"/>
      <c r="DD37" s="69"/>
      <c r="DE37" s="60"/>
      <c r="DF37" s="116">
        <v>2.8</v>
      </c>
      <c r="DG37" s="70"/>
      <c r="DH37" s="71">
        <v>40787</v>
      </c>
      <c r="DI37" s="107">
        <v>0</v>
      </c>
      <c r="DJ37" s="35">
        <v>4600</v>
      </c>
      <c r="DK37" s="61">
        <v>1500</v>
      </c>
      <c r="DL37" s="61">
        <v>2500</v>
      </c>
      <c r="DM37" s="72"/>
      <c r="DN37" s="64"/>
      <c r="DO37" s="72"/>
      <c r="DP37" s="64"/>
      <c r="DQ37" s="72"/>
      <c r="DR37" s="64"/>
      <c r="DS37" s="70">
        <v>4</v>
      </c>
      <c r="DT37" s="99" t="s">
        <v>581</v>
      </c>
      <c r="DU37" s="66">
        <v>1500</v>
      </c>
      <c r="DV37" s="62">
        <v>2500</v>
      </c>
      <c r="DW37" s="62"/>
      <c r="DX37" s="73">
        <v>40831</v>
      </c>
      <c r="DY37" s="4" t="s">
        <v>685</v>
      </c>
      <c r="DZ37" s="74" t="s">
        <v>686</v>
      </c>
      <c r="EA37" s="241" t="s">
        <v>687</v>
      </c>
    </row>
    <row r="38" spans="1:131" x14ac:dyDescent="0.4">
      <c r="A38" s="4" t="s">
        <v>98</v>
      </c>
      <c r="B38" s="17" t="s">
        <v>102</v>
      </c>
      <c r="C38" s="8">
        <v>64.037341999999995</v>
      </c>
      <c r="D38" s="8">
        <v>-21.400698999999999</v>
      </c>
      <c r="E38" s="7" t="s">
        <v>46</v>
      </c>
      <c r="F38" s="5" t="s">
        <v>103</v>
      </c>
      <c r="G38" s="7"/>
      <c r="H38" s="4" t="s">
        <v>101</v>
      </c>
      <c r="I38" s="52"/>
      <c r="J38" s="53">
        <v>18.600000000000001</v>
      </c>
      <c r="K38" s="36"/>
      <c r="L38" s="38">
        <v>2700</v>
      </c>
      <c r="M38" s="54"/>
      <c r="N38" s="55"/>
      <c r="O38" s="56">
        <v>0.1</v>
      </c>
      <c r="P38" s="57">
        <v>2.9999999999999998E-15</v>
      </c>
      <c r="Q38" s="57">
        <v>5.9999999999999997E-15</v>
      </c>
      <c r="R38" s="58">
        <v>4.4999999999999998E-15</v>
      </c>
      <c r="S38" s="54"/>
      <c r="T38" s="55">
        <v>25</v>
      </c>
      <c r="U38" s="102">
        <f>AVERAGE(S38,T38)</f>
        <v>25</v>
      </c>
      <c r="V38" s="103">
        <v>0.25</v>
      </c>
      <c r="W38" s="55"/>
      <c r="X38" s="56">
        <f>AVERAGE(V38,W38)</f>
        <v>0.25</v>
      </c>
      <c r="Y38" s="54"/>
      <c r="Z38" s="56">
        <f>T38/(3*(1-2*W38))</f>
        <v>8.3333333333333339</v>
      </c>
      <c r="AA38" s="54"/>
      <c r="AB38" s="56">
        <f>T38/(2*(1+W38))</f>
        <v>12.5</v>
      </c>
      <c r="AC38" s="54"/>
      <c r="AD38" s="56">
        <v>1</v>
      </c>
      <c r="AE38" s="101">
        <v>22</v>
      </c>
      <c r="AF38" s="102">
        <v>46</v>
      </c>
      <c r="AG38" s="103">
        <v>30</v>
      </c>
      <c r="AH38" s="56"/>
      <c r="AI38" s="101">
        <v>55</v>
      </c>
      <c r="AJ38" s="102">
        <v>155</v>
      </c>
      <c r="AK38" s="55"/>
      <c r="AL38" s="56"/>
      <c r="AM38" s="54"/>
      <c r="AN38" s="56">
        <v>2.1</v>
      </c>
      <c r="AO38" s="141">
        <v>2.0000000000000002E-5</v>
      </c>
      <c r="AP38" s="58">
        <v>6.0000000000000002E-5</v>
      </c>
      <c r="AQ38" s="104"/>
      <c r="AR38" s="105"/>
      <c r="AS38" s="100" t="s">
        <v>681</v>
      </c>
      <c r="AT38" s="106">
        <v>2.9499999999999998E-2</v>
      </c>
      <c r="AU38" s="107">
        <v>0</v>
      </c>
      <c r="AV38" s="64">
        <f>PRODUCT(AT38,CU38)</f>
        <v>73.75</v>
      </c>
      <c r="AW38" s="53">
        <f>PRODUCT(AT38,CV38)</f>
        <v>73.75</v>
      </c>
      <c r="AX38" s="108">
        <v>7.3499999999999996E-2</v>
      </c>
      <c r="AY38" s="107">
        <v>0</v>
      </c>
      <c r="AZ38" s="64">
        <f>PRODUCT(AX38,CU38)+AY38</f>
        <v>183.75</v>
      </c>
      <c r="BA38" s="53">
        <f>PRODUCT(AX38,CV38)+AY38</f>
        <v>183.75</v>
      </c>
      <c r="BB38" s="63">
        <v>2.1000000000000001E-2</v>
      </c>
      <c r="BC38" s="64">
        <v>0</v>
      </c>
      <c r="BD38" s="64">
        <f>PRODUCT(BB38,CU38)+BC38</f>
        <v>52.5</v>
      </c>
      <c r="BE38" s="53">
        <f>PRODUCT(BB38,CV38)</f>
        <v>52.5</v>
      </c>
      <c r="BF38" s="99" t="s">
        <v>682</v>
      </c>
      <c r="BG38" s="100" t="s">
        <v>683</v>
      </c>
      <c r="BH38" s="106">
        <v>9.1000000000000004E-3</v>
      </c>
      <c r="BI38" s="107">
        <v>0</v>
      </c>
      <c r="BJ38" s="64">
        <f>PRODUCT(BH38,CU38)</f>
        <v>22.75</v>
      </c>
      <c r="BK38" s="53">
        <f>PRODUCT(BH38,CV38)</f>
        <v>22.75</v>
      </c>
      <c r="BL38" s="66"/>
      <c r="BM38" s="105">
        <v>300</v>
      </c>
      <c r="BN38" s="109" t="s">
        <v>688</v>
      </c>
      <c r="BO38" s="38"/>
      <c r="BP38" s="99"/>
      <c r="BQ38" s="38"/>
      <c r="BR38" s="109" t="s">
        <v>689</v>
      </c>
      <c r="BS38" s="38"/>
      <c r="BT38" s="35"/>
      <c r="BU38" s="100"/>
      <c r="BV38" s="66"/>
      <c r="BW38" s="62"/>
      <c r="BX38" s="66"/>
      <c r="BY38" s="62"/>
      <c r="BZ38" s="67"/>
      <c r="CA38" s="61"/>
      <c r="CB38" s="62"/>
      <c r="CC38" s="37"/>
      <c r="CD38" s="38"/>
      <c r="CE38" s="64"/>
      <c r="CF38" s="53"/>
      <c r="CG38" s="37"/>
      <c r="CH38" s="38"/>
      <c r="CI38" s="36"/>
      <c r="CJ38" s="38"/>
      <c r="CK38" s="37"/>
      <c r="CL38" s="38"/>
      <c r="CM38" s="36"/>
      <c r="CN38" s="38"/>
      <c r="CO38" s="37"/>
      <c r="CP38" s="38"/>
      <c r="CQ38" s="37"/>
      <c r="CR38" s="38"/>
      <c r="CS38" s="37"/>
      <c r="CT38" s="38"/>
      <c r="CU38" s="66">
        <v>2500</v>
      </c>
      <c r="CV38" s="104">
        <v>2500</v>
      </c>
      <c r="CW38" s="35"/>
      <c r="CX38" s="68">
        <v>37622</v>
      </c>
      <c r="CY38" s="37"/>
      <c r="CZ38" s="35"/>
      <c r="DA38" s="60">
        <v>0.06</v>
      </c>
      <c r="DB38" s="69"/>
      <c r="DC38" s="60"/>
      <c r="DD38" s="69"/>
      <c r="DE38" s="60"/>
      <c r="DF38" s="70"/>
      <c r="DG38" s="70"/>
      <c r="DH38" s="71"/>
      <c r="DI38" s="107">
        <v>0</v>
      </c>
      <c r="DJ38" s="35"/>
      <c r="DK38" s="61">
        <v>4000</v>
      </c>
      <c r="DL38" s="61">
        <v>6000</v>
      </c>
      <c r="DM38" s="72"/>
      <c r="DN38" s="64"/>
      <c r="DO38" s="72"/>
      <c r="DP38" s="64"/>
      <c r="DQ38" s="72"/>
      <c r="DR38" s="64"/>
      <c r="DS38" s="70">
        <v>2.4</v>
      </c>
      <c r="DT38" s="36" t="s">
        <v>581</v>
      </c>
      <c r="DU38" s="66"/>
      <c r="DV38" s="62">
        <v>7000</v>
      </c>
      <c r="DW38" s="62"/>
      <c r="DX38" s="115">
        <v>37831</v>
      </c>
      <c r="DY38" s="114"/>
      <c r="DZ38" s="74"/>
      <c r="EA38" s="241" t="s">
        <v>690</v>
      </c>
    </row>
    <row r="39" spans="1:131" x14ac:dyDescent="0.4">
      <c r="A39" s="4" t="s">
        <v>98</v>
      </c>
      <c r="B39" s="17" t="s">
        <v>104</v>
      </c>
      <c r="C39" s="8">
        <v>64.020381999999998</v>
      </c>
      <c r="D39" s="8">
        <v>-21.429265000000001</v>
      </c>
      <c r="E39" s="7" t="s">
        <v>46</v>
      </c>
      <c r="F39" s="5" t="s">
        <v>100</v>
      </c>
      <c r="G39" s="7"/>
      <c r="H39" s="4" t="s">
        <v>101</v>
      </c>
      <c r="I39" s="52"/>
      <c r="J39" s="53">
        <v>18.600000000000001</v>
      </c>
      <c r="K39" s="36"/>
      <c r="L39" s="38">
        <v>2700</v>
      </c>
      <c r="M39" s="54"/>
      <c r="N39" s="55"/>
      <c r="O39" s="56">
        <v>0.1</v>
      </c>
      <c r="P39" s="36"/>
      <c r="Q39" s="36"/>
      <c r="R39" s="60">
        <v>2.9999999999999998E-14</v>
      </c>
      <c r="S39" s="54"/>
      <c r="T39" s="55">
        <v>25</v>
      </c>
      <c r="U39" s="102">
        <f>AVERAGE(S39,T39)</f>
        <v>25</v>
      </c>
      <c r="V39" s="55">
        <v>0.25</v>
      </c>
      <c r="W39" s="55"/>
      <c r="X39" s="56">
        <f>AVERAGE(V39,W39)</f>
        <v>0.25</v>
      </c>
      <c r="Y39" s="54"/>
      <c r="Z39" s="56">
        <f>T39/(3*(1-2*W39))</f>
        <v>8.3333333333333339</v>
      </c>
      <c r="AA39" s="54"/>
      <c r="AB39" s="56">
        <f>T39/(2*(1+W39))</f>
        <v>12.5</v>
      </c>
      <c r="AC39" s="54"/>
      <c r="AD39" s="56">
        <v>1</v>
      </c>
      <c r="AE39" s="101">
        <v>22</v>
      </c>
      <c r="AF39" s="102">
        <v>46</v>
      </c>
      <c r="AG39" s="103">
        <v>30</v>
      </c>
      <c r="AH39" s="56"/>
      <c r="AI39" s="101">
        <v>55</v>
      </c>
      <c r="AJ39" s="102">
        <v>155</v>
      </c>
      <c r="AK39" s="55"/>
      <c r="AL39" s="56"/>
      <c r="AM39" s="54"/>
      <c r="AN39" s="56">
        <v>2.1</v>
      </c>
      <c r="AO39" s="141">
        <v>2.0000000000000002E-5</v>
      </c>
      <c r="AP39" s="58">
        <v>6.0000000000000002E-5</v>
      </c>
      <c r="AQ39" s="61"/>
      <c r="AR39" s="62"/>
      <c r="AS39" s="100" t="s">
        <v>681</v>
      </c>
      <c r="AT39" s="106">
        <v>2.9499999999999998E-2</v>
      </c>
      <c r="AU39" s="107">
        <v>0</v>
      </c>
      <c r="AV39" s="64">
        <f>PRODUCT(AT39,CU39)</f>
        <v>23.599999999999998</v>
      </c>
      <c r="AW39" s="53"/>
      <c r="AX39" s="108">
        <v>7.3499999999999996E-2</v>
      </c>
      <c r="AY39" s="107">
        <v>0</v>
      </c>
      <c r="AZ39" s="64">
        <f>PRODUCT(AX39,CU39)+AY39</f>
        <v>58.8</v>
      </c>
      <c r="BA39" s="53"/>
      <c r="BB39" s="63">
        <v>2.1000000000000001E-2</v>
      </c>
      <c r="BC39" s="64">
        <v>0</v>
      </c>
      <c r="BD39" s="64">
        <f>PRODUCT(BB39,CU39)+BC39</f>
        <v>16.8</v>
      </c>
      <c r="BE39" s="53"/>
      <c r="BF39" s="99" t="s">
        <v>682</v>
      </c>
      <c r="BG39" s="100" t="s">
        <v>683</v>
      </c>
      <c r="BH39" s="106">
        <v>9.1000000000000004E-3</v>
      </c>
      <c r="BI39" s="107">
        <v>0</v>
      </c>
      <c r="BJ39" s="64">
        <f>PRODUCT(BH39,CU39)</f>
        <v>7.28</v>
      </c>
      <c r="BK39" s="53"/>
      <c r="BL39" s="66"/>
      <c r="BM39" s="62"/>
      <c r="BN39" s="109" t="s">
        <v>688</v>
      </c>
      <c r="BO39" s="38"/>
      <c r="BP39" s="36"/>
      <c r="BQ39" s="38"/>
      <c r="BR39" s="37"/>
      <c r="BS39" s="38"/>
      <c r="BT39" s="35"/>
      <c r="BU39" s="100"/>
      <c r="BV39" s="66"/>
      <c r="BW39" s="62"/>
      <c r="BX39" s="66"/>
      <c r="BY39" s="62"/>
      <c r="BZ39" s="67"/>
      <c r="CA39" s="61"/>
      <c r="CB39" s="62"/>
      <c r="CC39" s="37"/>
      <c r="CD39" s="38"/>
      <c r="CE39" s="64"/>
      <c r="CF39" s="53"/>
      <c r="CG39" s="37"/>
      <c r="CH39" s="38"/>
      <c r="CI39" s="36"/>
      <c r="CJ39" s="38"/>
      <c r="CK39" s="37"/>
      <c r="CL39" s="38"/>
      <c r="CM39" s="36"/>
      <c r="CN39" s="38"/>
      <c r="CO39" s="37"/>
      <c r="CP39" s="38"/>
      <c r="CQ39" s="37"/>
      <c r="CR39" s="38"/>
      <c r="CS39" s="37"/>
      <c r="CT39" s="38"/>
      <c r="CU39" s="110">
        <v>800</v>
      </c>
      <c r="CV39" s="61"/>
      <c r="CW39" s="35"/>
      <c r="CX39" s="68">
        <v>38718</v>
      </c>
      <c r="CY39" s="37"/>
      <c r="CZ39" s="35"/>
      <c r="DA39" s="60">
        <v>0.35</v>
      </c>
      <c r="DB39" s="69"/>
      <c r="DC39" s="60"/>
      <c r="DD39" s="69"/>
      <c r="DE39" s="60"/>
      <c r="DF39" s="70"/>
      <c r="DG39" s="70"/>
      <c r="DH39" s="71"/>
      <c r="DI39" s="64"/>
      <c r="DJ39" s="35"/>
      <c r="DK39" s="61"/>
      <c r="DL39" s="61"/>
      <c r="DM39" s="72"/>
      <c r="DN39" s="64"/>
      <c r="DO39" s="72"/>
      <c r="DP39" s="64"/>
      <c r="DQ39" s="72"/>
      <c r="DR39" s="64"/>
      <c r="DS39" s="70">
        <v>2</v>
      </c>
      <c r="DT39" s="36" t="s">
        <v>581</v>
      </c>
      <c r="DU39" s="66"/>
      <c r="DV39" s="62"/>
      <c r="DW39" s="62"/>
      <c r="DX39" s="115">
        <v>38718</v>
      </c>
      <c r="DY39" s="114"/>
      <c r="DZ39" s="74"/>
      <c r="EA39" s="241" t="s">
        <v>691</v>
      </c>
    </row>
    <row r="40" spans="1:131" x14ac:dyDescent="0.4">
      <c r="A40" s="4" t="s">
        <v>98</v>
      </c>
      <c r="B40" s="5" t="s">
        <v>105</v>
      </c>
      <c r="C40" s="8">
        <v>65.703173000000007</v>
      </c>
      <c r="D40" s="8">
        <v>-16.772663999999999</v>
      </c>
      <c r="E40" s="7" t="s">
        <v>46</v>
      </c>
      <c r="F40" s="5" t="s">
        <v>100</v>
      </c>
      <c r="G40" s="7"/>
      <c r="H40" s="4" t="s">
        <v>101</v>
      </c>
      <c r="I40" s="52"/>
      <c r="J40" s="53"/>
      <c r="K40" s="36"/>
      <c r="L40" s="38"/>
      <c r="M40" s="101">
        <v>0.1</v>
      </c>
      <c r="N40" s="103">
        <v>0.6</v>
      </c>
      <c r="O40" s="56">
        <f>AVERAGE(M40,N40)</f>
        <v>0.35</v>
      </c>
      <c r="P40" s="57">
        <v>1.9300000000000001E-16</v>
      </c>
      <c r="Q40" s="57">
        <v>2.5299999999999998E-13</v>
      </c>
      <c r="R40" s="60">
        <f>AVERAGE(P40,Q40)</f>
        <v>1.2659649999999998E-13</v>
      </c>
      <c r="S40" s="101">
        <v>9.1</v>
      </c>
      <c r="T40" s="103">
        <v>50</v>
      </c>
      <c r="U40" s="102">
        <f>AVERAGE(S40,T40)</f>
        <v>29.55</v>
      </c>
      <c r="V40" s="103">
        <v>0.18</v>
      </c>
      <c r="W40" s="103">
        <v>0.2</v>
      </c>
      <c r="X40" s="56">
        <f>AVERAGE(V40,W40)</f>
        <v>0.19</v>
      </c>
      <c r="Y40" s="54">
        <f>S40/(3*(1-2*V40))</f>
        <v>4.739583333333333</v>
      </c>
      <c r="Z40" s="56">
        <f>T40/(3*(1-2*W40))</f>
        <v>27.777777777777782</v>
      </c>
      <c r="AA40" s="54">
        <f>S40/(2*(1+V40))</f>
        <v>3.8559322033898304</v>
      </c>
      <c r="AB40" s="56">
        <f>T40/(2*(1+W40))</f>
        <v>20.833333333333336</v>
      </c>
      <c r="AC40" s="101"/>
      <c r="AD40" s="102"/>
      <c r="AE40" s="54"/>
      <c r="AF40" s="56"/>
      <c r="AG40" s="55"/>
      <c r="AH40" s="56"/>
      <c r="AI40" s="101">
        <v>5</v>
      </c>
      <c r="AJ40" s="102">
        <v>105</v>
      </c>
      <c r="AK40" s="103">
        <v>1.5</v>
      </c>
      <c r="AL40" s="102">
        <v>22</v>
      </c>
      <c r="AM40" s="54"/>
      <c r="AN40" s="56"/>
      <c r="AO40" s="57">
        <v>6.0900000000000001E-6</v>
      </c>
      <c r="AP40" s="60"/>
      <c r="AQ40" s="104"/>
      <c r="AR40" s="105"/>
      <c r="AS40" s="100" t="s">
        <v>552</v>
      </c>
      <c r="AT40" s="63"/>
      <c r="AU40" s="64"/>
      <c r="AV40" s="107">
        <v>50</v>
      </c>
      <c r="AW40" s="142">
        <v>70</v>
      </c>
      <c r="AX40" s="65"/>
      <c r="AY40" s="64"/>
      <c r="AZ40" s="64"/>
      <c r="BA40" s="53"/>
      <c r="BB40" s="63"/>
      <c r="BC40" s="64"/>
      <c r="BD40" s="64"/>
      <c r="BE40" s="53"/>
      <c r="BF40" s="36"/>
      <c r="BG40" s="38"/>
      <c r="BH40" s="63"/>
      <c r="BI40" s="64"/>
      <c r="BJ40" s="107">
        <v>30</v>
      </c>
      <c r="BK40" s="142">
        <v>50</v>
      </c>
      <c r="BL40" s="110"/>
      <c r="BM40" s="105">
        <v>440</v>
      </c>
      <c r="BN40" s="37"/>
      <c r="BO40" s="38"/>
      <c r="BP40" s="36"/>
      <c r="BQ40" s="38"/>
      <c r="BR40" s="37"/>
      <c r="BS40" s="38"/>
      <c r="BT40" s="35"/>
      <c r="BU40" s="38"/>
      <c r="BV40" s="66"/>
      <c r="BW40" s="62"/>
      <c r="BX40" s="66"/>
      <c r="BY40" s="62"/>
      <c r="BZ40" s="67"/>
      <c r="CA40" s="61"/>
      <c r="CB40" s="62"/>
      <c r="CC40" s="37"/>
      <c r="CD40" s="38"/>
      <c r="CE40" s="64"/>
      <c r="CF40" s="53"/>
      <c r="CG40" s="37"/>
      <c r="CH40" s="38"/>
      <c r="CI40" s="36"/>
      <c r="CJ40" s="38"/>
      <c r="CK40" s="37"/>
      <c r="CL40" s="38"/>
      <c r="CM40" s="36"/>
      <c r="CN40" s="38"/>
      <c r="CO40" s="37"/>
      <c r="CP40" s="38"/>
      <c r="CQ40" s="37"/>
      <c r="CR40" s="38"/>
      <c r="CS40" s="37"/>
      <c r="CT40" s="38"/>
      <c r="CU40" s="66">
        <v>2000</v>
      </c>
      <c r="CV40" s="61">
        <v>2100</v>
      </c>
      <c r="CW40" s="35" t="s">
        <v>671</v>
      </c>
      <c r="CX40" s="68">
        <v>37257</v>
      </c>
      <c r="CY40" s="37"/>
      <c r="CZ40" s="35"/>
      <c r="DA40" s="60">
        <v>7.0000000000000007E-2</v>
      </c>
      <c r="DB40" s="69"/>
      <c r="DC40" s="60"/>
      <c r="DD40" s="69"/>
      <c r="DE40" s="60"/>
      <c r="DF40" s="70">
        <v>0.3</v>
      </c>
      <c r="DG40" s="70"/>
      <c r="DH40" s="71"/>
      <c r="DI40" s="64"/>
      <c r="DJ40" s="35"/>
      <c r="DK40" s="61">
        <v>1000</v>
      </c>
      <c r="DL40" s="61">
        <v>3000</v>
      </c>
      <c r="DM40" s="72"/>
      <c r="DN40" s="64"/>
      <c r="DO40" s="72"/>
      <c r="DP40" s="64"/>
      <c r="DQ40" s="72"/>
      <c r="DR40" s="64"/>
      <c r="DS40" s="70">
        <v>2.2000000000000002</v>
      </c>
      <c r="DT40" s="36" t="s">
        <v>581</v>
      </c>
      <c r="DU40" s="66"/>
      <c r="DV40" s="62"/>
      <c r="DW40" s="62"/>
      <c r="DX40" s="115">
        <v>38200</v>
      </c>
      <c r="DY40" s="21" t="s">
        <v>692</v>
      </c>
      <c r="DZ40" s="74"/>
      <c r="EA40" s="241" t="s">
        <v>693</v>
      </c>
    </row>
    <row r="41" spans="1:131" x14ac:dyDescent="0.4">
      <c r="A41" s="4" t="s">
        <v>98</v>
      </c>
      <c r="B41" s="17" t="s">
        <v>106</v>
      </c>
      <c r="C41" s="8"/>
      <c r="D41" s="8"/>
      <c r="E41" s="7" t="s">
        <v>46</v>
      </c>
      <c r="F41" s="5" t="s">
        <v>100</v>
      </c>
      <c r="G41" s="7"/>
      <c r="H41" s="4" t="s">
        <v>101</v>
      </c>
      <c r="I41" s="52"/>
      <c r="J41" s="53"/>
      <c r="K41" s="36"/>
      <c r="L41" s="38"/>
      <c r="M41" s="54"/>
      <c r="N41" s="55"/>
      <c r="O41" s="56"/>
      <c r="P41" s="36"/>
      <c r="Q41" s="36"/>
      <c r="R41" s="38"/>
      <c r="S41" s="54"/>
      <c r="T41" s="55"/>
      <c r="U41" s="56"/>
      <c r="V41" s="55"/>
      <c r="W41" s="55"/>
      <c r="X41" s="56"/>
      <c r="Y41" s="54"/>
      <c r="Z41" s="56"/>
      <c r="AA41" s="54"/>
      <c r="AB41" s="56"/>
      <c r="AC41" s="54"/>
      <c r="AD41" s="56"/>
      <c r="AE41" s="54"/>
      <c r="AF41" s="56"/>
      <c r="AG41" s="55"/>
      <c r="AH41" s="56"/>
      <c r="AI41" s="54"/>
      <c r="AJ41" s="56"/>
      <c r="AK41" s="55"/>
      <c r="AL41" s="56"/>
      <c r="AM41" s="54"/>
      <c r="AN41" s="56"/>
      <c r="AO41" s="59"/>
      <c r="AP41" s="60"/>
      <c r="AQ41" s="61"/>
      <c r="AR41" s="62"/>
      <c r="AS41" s="38"/>
      <c r="AT41" s="63"/>
      <c r="AU41" s="64"/>
      <c r="AV41" s="64"/>
      <c r="AW41" s="53"/>
      <c r="AX41" s="65"/>
      <c r="AY41" s="64"/>
      <c r="AZ41" s="64"/>
      <c r="BA41" s="53"/>
      <c r="BB41" s="63"/>
      <c r="BC41" s="64"/>
      <c r="BD41" s="64"/>
      <c r="BE41" s="53"/>
      <c r="BF41" s="36"/>
      <c r="BG41" s="38"/>
      <c r="BH41" s="63"/>
      <c r="BI41" s="64"/>
      <c r="BJ41" s="64"/>
      <c r="BK41" s="53"/>
      <c r="BL41" s="110">
        <v>90</v>
      </c>
      <c r="BM41" s="105">
        <v>100</v>
      </c>
      <c r="BN41" s="37"/>
      <c r="BO41" s="38"/>
      <c r="BP41" s="36"/>
      <c r="BQ41" s="38"/>
      <c r="BR41" s="37"/>
      <c r="BS41" s="38"/>
      <c r="BT41" s="35"/>
      <c r="BU41" s="38"/>
      <c r="BV41" s="66"/>
      <c r="BW41" s="62"/>
      <c r="BX41" s="66"/>
      <c r="BY41" s="62"/>
      <c r="BZ41" s="67"/>
      <c r="CA41" s="61"/>
      <c r="CB41" s="62"/>
      <c r="CC41" s="37"/>
      <c r="CD41" s="38"/>
      <c r="CE41" s="64"/>
      <c r="CF41" s="53"/>
      <c r="CG41" s="37"/>
      <c r="CH41" s="38"/>
      <c r="CI41" s="36"/>
      <c r="CJ41" s="38"/>
      <c r="CK41" s="37"/>
      <c r="CL41" s="38"/>
      <c r="CM41" s="36"/>
      <c r="CN41" s="38"/>
      <c r="CO41" s="37"/>
      <c r="CP41" s="38"/>
      <c r="CQ41" s="37"/>
      <c r="CR41" s="38"/>
      <c r="CS41" s="37"/>
      <c r="CT41" s="38"/>
      <c r="CU41" s="110">
        <v>390</v>
      </c>
      <c r="CV41" s="104">
        <v>1875</v>
      </c>
      <c r="CW41" s="134" t="s">
        <v>694</v>
      </c>
      <c r="CX41" s="68">
        <v>35431</v>
      </c>
      <c r="CY41" s="109"/>
      <c r="CZ41" s="134">
        <v>20</v>
      </c>
      <c r="DA41" s="58">
        <v>2.1000000000000001E-2</v>
      </c>
      <c r="DB41" s="69"/>
      <c r="DC41" s="60"/>
      <c r="DD41" s="69"/>
      <c r="DE41" s="60"/>
      <c r="DF41" s="116">
        <v>2.8</v>
      </c>
      <c r="DG41" s="70"/>
      <c r="DH41" s="71"/>
      <c r="DI41" s="64"/>
      <c r="DJ41" s="134">
        <v>0</v>
      </c>
      <c r="DK41" s="61"/>
      <c r="DL41" s="61"/>
      <c r="DM41" s="72"/>
      <c r="DN41" s="64"/>
      <c r="DO41" s="72"/>
      <c r="DP41" s="64"/>
      <c r="DQ41" s="72"/>
      <c r="DR41" s="64"/>
      <c r="DS41" s="116">
        <v>0</v>
      </c>
      <c r="DT41" s="36"/>
      <c r="DU41" s="66"/>
      <c r="DV41" s="62"/>
      <c r="DW41" s="62"/>
      <c r="DX41" s="73"/>
      <c r="DY41" s="21" t="s">
        <v>695</v>
      </c>
      <c r="DZ41" s="140" t="s">
        <v>696</v>
      </c>
      <c r="EA41" s="244" t="s">
        <v>697</v>
      </c>
    </row>
    <row r="42" spans="1:131" x14ac:dyDescent="0.4">
      <c r="A42" s="4" t="s">
        <v>98</v>
      </c>
      <c r="B42" s="17" t="s">
        <v>107</v>
      </c>
      <c r="C42" s="8">
        <v>65.583584000000002</v>
      </c>
      <c r="D42" s="8">
        <v>-18.064491</v>
      </c>
      <c r="E42" s="7" t="s">
        <v>46</v>
      </c>
      <c r="F42" s="5" t="s">
        <v>100</v>
      </c>
      <c r="G42" s="7"/>
      <c r="H42" s="4" t="s">
        <v>101</v>
      </c>
      <c r="I42" s="52"/>
      <c r="J42" s="53"/>
      <c r="K42" s="99">
        <v>2650</v>
      </c>
      <c r="L42" s="100">
        <v>2920</v>
      </c>
      <c r="M42" s="101">
        <v>0.06</v>
      </c>
      <c r="N42" s="103">
        <v>0.18</v>
      </c>
      <c r="O42" s="56">
        <f>AVERAGE(M42,N42)</f>
        <v>0.12</v>
      </c>
      <c r="P42" s="36"/>
      <c r="Q42" s="36"/>
      <c r="R42" s="38"/>
      <c r="S42" s="54"/>
      <c r="T42" s="55"/>
      <c r="U42" s="56"/>
      <c r="V42" s="55"/>
      <c r="W42" s="55"/>
      <c r="X42" s="56"/>
      <c r="Y42" s="54"/>
      <c r="Z42" s="56"/>
      <c r="AA42" s="54"/>
      <c r="AB42" s="56"/>
      <c r="AC42" s="54"/>
      <c r="AD42" s="56"/>
      <c r="AE42" s="54"/>
      <c r="AF42" s="56"/>
      <c r="AG42" s="55"/>
      <c r="AH42" s="56"/>
      <c r="AI42" s="54"/>
      <c r="AJ42" s="56"/>
      <c r="AK42" s="55"/>
      <c r="AL42" s="56"/>
      <c r="AM42" s="54"/>
      <c r="AN42" s="56"/>
      <c r="AO42" s="59"/>
      <c r="AP42" s="60"/>
      <c r="AQ42" s="61"/>
      <c r="AR42" s="62"/>
      <c r="AS42" s="38"/>
      <c r="AT42" s="63"/>
      <c r="AU42" s="64"/>
      <c r="AV42" s="64"/>
      <c r="AW42" s="53"/>
      <c r="AX42" s="65"/>
      <c r="AY42" s="64"/>
      <c r="AZ42" s="64"/>
      <c r="BA42" s="53"/>
      <c r="BB42" s="63"/>
      <c r="BC42" s="64"/>
      <c r="BD42" s="64"/>
      <c r="BE42" s="53"/>
      <c r="BF42" s="99" t="s">
        <v>631</v>
      </c>
      <c r="BG42" s="100" t="s">
        <v>698</v>
      </c>
      <c r="BH42" s="63"/>
      <c r="BI42" s="64"/>
      <c r="BJ42" s="64"/>
      <c r="BK42" s="53"/>
      <c r="BL42" s="110">
        <v>95</v>
      </c>
      <c r="BM42" s="62"/>
      <c r="BN42" s="109" t="s">
        <v>699</v>
      </c>
      <c r="BO42" s="38"/>
      <c r="BP42" s="99">
        <v>70</v>
      </c>
      <c r="BQ42" s="100">
        <v>90</v>
      </c>
      <c r="BR42" s="37"/>
      <c r="BS42" s="38"/>
      <c r="BT42" s="35"/>
      <c r="BU42" s="38"/>
      <c r="BV42" s="66"/>
      <c r="BW42" s="62"/>
      <c r="BX42" s="66"/>
      <c r="BY42" s="62"/>
      <c r="BZ42" s="67"/>
      <c r="CA42" s="61"/>
      <c r="CB42" s="62"/>
      <c r="CC42" s="37"/>
      <c r="CD42" s="38"/>
      <c r="CE42" s="64"/>
      <c r="CF42" s="53"/>
      <c r="CG42" s="112">
        <v>2.9999999999999998E-14</v>
      </c>
      <c r="CH42" s="58">
        <v>1.7000000000000001E-13</v>
      </c>
      <c r="CI42" s="36"/>
      <c r="CJ42" s="38"/>
      <c r="CK42" s="37"/>
      <c r="CL42" s="38"/>
      <c r="CM42" s="36"/>
      <c r="CN42" s="38"/>
      <c r="CO42" s="37"/>
      <c r="CP42" s="38"/>
      <c r="CQ42" s="37"/>
      <c r="CR42" s="38"/>
      <c r="CS42" s="37"/>
      <c r="CT42" s="38"/>
      <c r="CU42" s="66"/>
      <c r="CV42" s="61">
        <v>1000</v>
      </c>
      <c r="CW42" s="35"/>
      <c r="CX42" s="68">
        <v>36526</v>
      </c>
      <c r="CY42" s="109"/>
      <c r="CZ42" s="134">
        <v>65</v>
      </c>
      <c r="DA42" s="58">
        <v>4.0000000000000001E-3</v>
      </c>
      <c r="DB42" s="69"/>
      <c r="DC42" s="60"/>
      <c r="DD42" s="69"/>
      <c r="DE42" s="60"/>
      <c r="DF42" s="70"/>
      <c r="DG42" s="70"/>
      <c r="DH42" s="71"/>
      <c r="DI42" s="64"/>
      <c r="DJ42" s="134" t="s">
        <v>700</v>
      </c>
      <c r="DK42" s="104">
        <v>5000</v>
      </c>
      <c r="DL42" s="104">
        <v>10000</v>
      </c>
      <c r="DM42" s="72"/>
      <c r="DN42" s="64"/>
      <c r="DO42" s="72"/>
      <c r="DP42" s="64"/>
      <c r="DQ42" s="72"/>
      <c r="DR42" s="64"/>
      <c r="DS42" s="70">
        <v>6.6</v>
      </c>
      <c r="DT42" s="36" t="s">
        <v>581</v>
      </c>
      <c r="DU42" s="66"/>
      <c r="DV42" s="62"/>
      <c r="DW42" s="105">
        <v>6000</v>
      </c>
      <c r="DX42" s="73">
        <v>36694</v>
      </c>
      <c r="DY42" s="21" t="s">
        <v>701</v>
      </c>
      <c r="DZ42" s="140" t="s">
        <v>702</v>
      </c>
      <c r="EA42" s="244" t="s">
        <v>697</v>
      </c>
    </row>
    <row r="43" spans="1:131" x14ac:dyDescent="0.4">
      <c r="A43" s="4" t="s">
        <v>98</v>
      </c>
      <c r="B43" s="5" t="s">
        <v>108</v>
      </c>
      <c r="C43" s="8">
        <v>64.108255</v>
      </c>
      <c r="D43" s="8">
        <v>-21.256754999999998</v>
      </c>
      <c r="E43" s="7" t="s">
        <v>46</v>
      </c>
      <c r="F43" s="5" t="s">
        <v>100</v>
      </c>
      <c r="G43" s="7"/>
      <c r="H43" s="21" t="s">
        <v>101</v>
      </c>
      <c r="I43" s="52"/>
      <c r="J43" s="53"/>
      <c r="K43" s="36"/>
      <c r="L43" s="38"/>
      <c r="M43" s="54"/>
      <c r="N43" s="55"/>
      <c r="O43" s="56"/>
      <c r="P43" s="36"/>
      <c r="Q43" s="36"/>
      <c r="R43" s="38"/>
      <c r="S43" s="54"/>
      <c r="T43" s="55"/>
      <c r="U43" s="102"/>
      <c r="V43" s="55"/>
      <c r="W43" s="55"/>
      <c r="X43" s="56"/>
      <c r="Y43" s="54"/>
      <c r="Z43" s="56"/>
      <c r="AA43" s="54"/>
      <c r="AB43" s="56"/>
      <c r="AC43" s="54"/>
      <c r="AD43" s="56"/>
      <c r="AE43" s="54"/>
      <c r="AF43" s="56"/>
      <c r="AG43" s="55"/>
      <c r="AH43" s="56"/>
      <c r="AI43" s="54"/>
      <c r="AJ43" s="56"/>
      <c r="AK43" s="55"/>
      <c r="AL43" s="56"/>
      <c r="AM43" s="54"/>
      <c r="AN43" s="56"/>
      <c r="AO43" s="59"/>
      <c r="AP43" s="60"/>
      <c r="AQ43" s="61"/>
      <c r="AR43" s="62"/>
      <c r="AS43" s="38"/>
      <c r="AT43" s="63"/>
      <c r="AU43" s="64"/>
      <c r="AV43" s="64"/>
      <c r="AW43" s="53"/>
      <c r="AX43" s="65"/>
      <c r="AY43" s="64"/>
      <c r="AZ43" s="64"/>
      <c r="BA43" s="53"/>
      <c r="BB43" s="63"/>
      <c r="BC43" s="64"/>
      <c r="BD43" s="64"/>
      <c r="BE43" s="53"/>
      <c r="BF43" s="36"/>
      <c r="BG43" s="38"/>
      <c r="BH43" s="63"/>
      <c r="BI43" s="64"/>
      <c r="BJ43" s="64"/>
      <c r="BK43" s="53"/>
      <c r="BL43" s="66"/>
      <c r="BM43" s="105">
        <v>380</v>
      </c>
      <c r="BN43" s="37"/>
      <c r="BO43" s="38"/>
      <c r="BP43" s="36"/>
      <c r="BQ43" s="38"/>
      <c r="BR43" s="37"/>
      <c r="BS43" s="38"/>
      <c r="BT43" s="35"/>
      <c r="BU43" s="38"/>
      <c r="BV43" s="66"/>
      <c r="BW43" s="62"/>
      <c r="BX43" s="66"/>
      <c r="BY43" s="62"/>
      <c r="BZ43" s="67"/>
      <c r="CA43" s="61"/>
      <c r="CB43" s="62"/>
      <c r="CC43" s="37"/>
      <c r="CD43" s="38"/>
      <c r="CE43" s="64"/>
      <c r="CF43" s="53"/>
      <c r="CG43" s="37"/>
      <c r="CH43" s="38"/>
      <c r="CI43" s="36"/>
      <c r="CJ43" s="38"/>
      <c r="CK43" s="37"/>
      <c r="CL43" s="38"/>
      <c r="CM43" s="36"/>
      <c r="CN43" s="38"/>
      <c r="CO43" s="37"/>
      <c r="CP43" s="38"/>
      <c r="CQ43" s="37"/>
      <c r="CR43" s="38"/>
      <c r="CS43" s="37"/>
      <c r="CT43" s="38"/>
      <c r="CU43" s="66">
        <v>400</v>
      </c>
      <c r="CV43" s="61">
        <v>550</v>
      </c>
      <c r="CW43" s="35"/>
      <c r="CX43" s="143">
        <v>37987</v>
      </c>
      <c r="CY43" s="37"/>
      <c r="CZ43" s="35"/>
      <c r="DA43" s="60">
        <v>0.16</v>
      </c>
      <c r="DB43" s="69"/>
      <c r="DC43" s="60"/>
      <c r="DD43" s="69"/>
      <c r="DE43" s="60"/>
      <c r="DF43" s="70"/>
      <c r="DG43" s="70"/>
      <c r="DH43" s="71"/>
      <c r="DI43" s="64"/>
      <c r="DJ43" s="134" t="s">
        <v>703</v>
      </c>
      <c r="DK43" s="61"/>
      <c r="DL43" s="61"/>
      <c r="DM43" s="72"/>
      <c r="DN43" s="64"/>
      <c r="DO43" s="72"/>
      <c r="DP43" s="64"/>
      <c r="DQ43" s="72"/>
      <c r="DR43" s="64"/>
      <c r="DS43" s="70">
        <v>3.2</v>
      </c>
      <c r="DT43" s="36" t="s">
        <v>581</v>
      </c>
      <c r="DU43" s="66"/>
      <c r="DV43" s="62"/>
      <c r="DW43" s="62"/>
      <c r="DX43" s="73"/>
      <c r="DY43" s="114"/>
      <c r="DZ43" s="74"/>
      <c r="EA43" s="241" t="s">
        <v>704</v>
      </c>
    </row>
    <row r="44" spans="1:131" x14ac:dyDescent="0.4">
      <c r="A44" s="4" t="s">
        <v>98</v>
      </c>
      <c r="B44" s="17" t="s">
        <v>109</v>
      </c>
      <c r="C44" s="8">
        <v>63.825755000000001</v>
      </c>
      <c r="D44" s="8">
        <v>-22.681858999999999</v>
      </c>
      <c r="E44" s="7" t="s">
        <v>46</v>
      </c>
      <c r="F44" s="5" t="s">
        <v>110</v>
      </c>
      <c r="G44" s="7"/>
      <c r="H44" s="4" t="s">
        <v>111</v>
      </c>
      <c r="I44" s="52"/>
      <c r="J44" s="53"/>
      <c r="K44" s="99">
        <v>2500</v>
      </c>
      <c r="L44" s="100">
        <v>2980</v>
      </c>
      <c r="M44" s="54"/>
      <c r="N44" s="55"/>
      <c r="O44" s="56"/>
      <c r="P44" s="36"/>
      <c r="Q44" s="36"/>
      <c r="R44" s="38"/>
      <c r="S44" s="101">
        <v>17</v>
      </c>
      <c r="T44" s="103">
        <v>82</v>
      </c>
      <c r="U44" s="102">
        <f>AVERAGE(S44,T44)</f>
        <v>49.5</v>
      </c>
      <c r="V44" s="55"/>
      <c r="W44" s="55"/>
      <c r="X44" s="56"/>
      <c r="Y44" s="54">
        <f>S44/(3*(1-2*V44))</f>
        <v>5.666666666666667</v>
      </c>
      <c r="Z44" s="56">
        <f>T44/(3*(1-2*W44))</f>
        <v>27.333333333333332</v>
      </c>
      <c r="AA44" s="54">
        <f>S44/(2*(1+V44))</f>
        <v>8.5</v>
      </c>
      <c r="AB44" s="56">
        <f>T44/(2*(1+W44))</f>
        <v>41</v>
      </c>
      <c r="AC44" s="54"/>
      <c r="AD44" s="56"/>
      <c r="AE44" s="54"/>
      <c r="AF44" s="56"/>
      <c r="AG44" s="55"/>
      <c r="AH44" s="56"/>
      <c r="AI44" s="101">
        <v>10</v>
      </c>
      <c r="AJ44" s="102">
        <v>414</v>
      </c>
      <c r="AK44" s="103">
        <v>2.1</v>
      </c>
      <c r="AL44" s="102">
        <v>13.4</v>
      </c>
      <c r="AM44" s="54"/>
      <c r="AN44" s="56"/>
      <c r="AO44" s="59"/>
      <c r="AP44" s="60"/>
      <c r="AQ44" s="104"/>
      <c r="AR44" s="105"/>
      <c r="AS44" s="100" t="s">
        <v>675</v>
      </c>
      <c r="AT44" s="106">
        <v>2.8000000000000001E-2</v>
      </c>
      <c r="AU44" s="107">
        <v>0</v>
      </c>
      <c r="AV44" s="64">
        <f>PRODUCT(AT44,CU44)</f>
        <v>28</v>
      </c>
      <c r="AW44" s="53"/>
      <c r="AX44" s="108">
        <v>7.0000000000000001E-3</v>
      </c>
      <c r="AY44" s="107">
        <v>4.7</v>
      </c>
      <c r="AZ44" s="64">
        <f>PRODUCT(AX44,CU44)+AY44</f>
        <v>11.7</v>
      </c>
      <c r="BA44" s="53"/>
      <c r="BB44" s="106">
        <v>1.0999999999999999E-2</v>
      </c>
      <c r="BC44" s="107">
        <v>2</v>
      </c>
      <c r="BD44" s="64">
        <f>PRODUCT(BB44,CU44)+BC44</f>
        <v>13</v>
      </c>
      <c r="BE44" s="53"/>
      <c r="BF44" s="99" t="s">
        <v>705</v>
      </c>
      <c r="BG44" s="100" t="s">
        <v>706</v>
      </c>
      <c r="BH44" s="106">
        <v>9.7999999999999997E-3</v>
      </c>
      <c r="BI44" s="107">
        <v>0</v>
      </c>
      <c r="BJ44" s="64">
        <f>PRODUCT(BH44,CU44)</f>
        <v>9.7999999999999989</v>
      </c>
      <c r="BK44" s="53"/>
      <c r="BL44" s="110">
        <v>290</v>
      </c>
      <c r="BM44" s="105">
        <v>345</v>
      </c>
      <c r="BN44" s="37"/>
      <c r="BO44" s="38"/>
      <c r="BP44" s="36"/>
      <c r="BQ44" s="38"/>
      <c r="BR44" s="37"/>
      <c r="BS44" s="38"/>
      <c r="BT44" s="35"/>
      <c r="BU44" s="38"/>
      <c r="BV44" s="66"/>
      <c r="BW44" s="62"/>
      <c r="BX44" s="66"/>
      <c r="BY44" s="62"/>
      <c r="BZ44" s="67"/>
      <c r="CA44" s="61"/>
      <c r="CB44" s="62"/>
      <c r="CC44" s="37"/>
      <c r="CD44" s="38"/>
      <c r="CE44" s="64"/>
      <c r="CF44" s="53"/>
      <c r="CG44" s="37"/>
      <c r="CH44" s="38"/>
      <c r="CI44" s="36"/>
      <c r="CJ44" s="38"/>
      <c r="CK44" s="37"/>
      <c r="CL44" s="38"/>
      <c r="CM44" s="36"/>
      <c r="CN44" s="38"/>
      <c r="CO44" s="37"/>
      <c r="CP44" s="38"/>
      <c r="CQ44" s="37"/>
      <c r="CR44" s="38"/>
      <c r="CS44" s="37"/>
      <c r="CT44" s="38"/>
      <c r="CU44" s="110">
        <v>1000</v>
      </c>
      <c r="CV44" s="61"/>
      <c r="CW44" s="35"/>
      <c r="CX44" s="68">
        <v>39814</v>
      </c>
      <c r="CY44" s="37"/>
      <c r="CZ44" s="35"/>
      <c r="DA44" s="60">
        <v>7.9000000000000001E-2</v>
      </c>
      <c r="DB44" s="69">
        <v>70600000</v>
      </c>
      <c r="DC44" s="60"/>
      <c r="DD44" s="69"/>
      <c r="DE44" s="60"/>
      <c r="DF44" s="70"/>
      <c r="DG44" s="70"/>
      <c r="DH44" s="71">
        <v>38868</v>
      </c>
      <c r="DI44" s="64"/>
      <c r="DJ44" s="35" t="s">
        <v>707</v>
      </c>
      <c r="DK44" s="61"/>
      <c r="DL44" s="61"/>
      <c r="DM44" s="72"/>
      <c r="DN44" s="64"/>
      <c r="DO44" s="72"/>
      <c r="DP44" s="64"/>
      <c r="DQ44" s="72"/>
      <c r="DR44" s="64"/>
      <c r="DS44" s="116">
        <v>2</v>
      </c>
      <c r="DT44" s="36" t="s">
        <v>581</v>
      </c>
      <c r="DU44" s="66"/>
      <c r="DV44" s="62"/>
      <c r="DW44" s="62"/>
      <c r="DX44" s="73"/>
      <c r="DY44" s="21" t="s">
        <v>708</v>
      </c>
      <c r="DZ44" s="140" t="s">
        <v>709</v>
      </c>
      <c r="EA44" s="241" t="s">
        <v>710</v>
      </c>
    </row>
    <row r="45" spans="1:131" x14ac:dyDescent="0.4">
      <c r="A45" s="4" t="s">
        <v>98</v>
      </c>
      <c r="B45" s="17" t="s">
        <v>112</v>
      </c>
      <c r="C45" s="8">
        <v>63.878922000000003</v>
      </c>
      <c r="D45" s="8">
        <v>-22.432912999999999</v>
      </c>
      <c r="E45" s="7" t="s">
        <v>46</v>
      </c>
      <c r="F45" s="5" t="s">
        <v>100</v>
      </c>
      <c r="G45" s="7"/>
      <c r="H45" s="4" t="s">
        <v>101</v>
      </c>
      <c r="I45" s="52"/>
      <c r="J45" s="53"/>
      <c r="K45" s="36"/>
      <c r="L45" s="38"/>
      <c r="M45" s="54"/>
      <c r="N45" s="55"/>
      <c r="O45" s="56"/>
      <c r="P45" s="36"/>
      <c r="Q45" s="36"/>
      <c r="R45" s="38"/>
      <c r="S45" s="54"/>
      <c r="T45" s="55"/>
      <c r="U45" s="102"/>
      <c r="V45" s="55"/>
      <c r="W45" s="55"/>
      <c r="X45" s="56"/>
      <c r="Y45" s="54"/>
      <c r="Z45" s="56"/>
      <c r="AA45" s="54"/>
      <c r="AB45" s="56"/>
      <c r="AC45" s="54"/>
      <c r="AD45" s="56"/>
      <c r="AE45" s="54"/>
      <c r="AF45" s="56"/>
      <c r="AG45" s="55"/>
      <c r="AH45" s="56"/>
      <c r="AI45" s="54"/>
      <c r="AJ45" s="56"/>
      <c r="AK45" s="55"/>
      <c r="AL45" s="56"/>
      <c r="AM45" s="54"/>
      <c r="AN45" s="56"/>
      <c r="AO45" s="59"/>
      <c r="AP45" s="60"/>
      <c r="AQ45" s="104"/>
      <c r="AR45" s="105"/>
      <c r="AS45" s="100" t="s">
        <v>552</v>
      </c>
      <c r="AT45" s="63"/>
      <c r="AU45" s="64"/>
      <c r="AV45" s="64"/>
      <c r="AW45" s="53"/>
      <c r="AX45" s="65"/>
      <c r="AY45" s="64"/>
      <c r="AZ45" s="64"/>
      <c r="BA45" s="53"/>
      <c r="BB45" s="63"/>
      <c r="BC45" s="64"/>
      <c r="BD45" s="64"/>
      <c r="BE45" s="53"/>
      <c r="BF45" s="36"/>
      <c r="BG45" s="38"/>
      <c r="BH45" s="63"/>
      <c r="BI45" s="64"/>
      <c r="BJ45" s="64"/>
      <c r="BK45" s="53"/>
      <c r="BL45" s="66">
        <v>240</v>
      </c>
      <c r="BM45" s="105">
        <v>260</v>
      </c>
      <c r="BN45" s="37"/>
      <c r="BO45" s="38"/>
      <c r="BP45" s="36"/>
      <c r="BQ45" s="38"/>
      <c r="BR45" s="37"/>
      <c r="BS45" s="38"/>
      <c r="BT45" s="35"/>
      <c r="BU45" s="38"/>
      <c r="BV45" s="66"/>
      <c r="BW45" s="62"/>
      <c r="BX45" s="66"/>
      <c r="BY45" s="62"/>
      <c r="BZ45" s="67"/>
      <c r="CA45" s="61"/>
      <c r="CB45" s="62"/>
      <c r="CC45" s="37"/>
      <c r="CD45" s="38"/>
      <c r="CE45" s="64"/>
      <c r="CF45" s="53"/>
      <c r="CG45" s="37"/>
      <c r="CH45" s="38"/>
      <c r="CI45" s="36"/>
      <c r="CJ45" s="38"/>
      <c r="CK45" s="37"/>
      <c r="CL45" s="38"/>
      <c r="CM45" s="36"/>
      <c r="CN45" s="38"/>
      <c r="CO45" s="37"/>
      <c r="CP45" s="38"/>
      <c r="CQ45" s="37"/>
      <c r="CR45" s="38"/>
      <c r="CS45" s="37"/>
      <c r="CT45" s="38"/>
      <c r="CU45" s="110">
        <v>1000</v>
      </c>
      <c r="CV45" s="104">
        <v>2000</v>
      </c>
      <c r="CW45" s="134" t="s">
        <v>694</v>
      </c>
      <c r="CX45" s="68">
        <v>30682</v>
      </c>
      <c r="CY45" s="109"/>
      <c r="CZ45" s="134">
        <v>75</v>
      </c>
      <c r="DA45" s="58">
        <v>5.5E-2</v>
      </c>
      <c r="DB45" s="112">
        <v>200000</v>
      </c>
      <c r="DC45" s="60"/>
      <c r="DD45" s="69"/>
      <c r="DE45" s="60"/>
      <c r="DF45" s="116">
        <v>3.4</v>
      </c>
      <c r="DG45" s="70"/>
      <c r="DH45" s="71"/>
      <c r="DI45" s="64"/>
      <c r="DJ45" s="35"/>
      <c r="DK45" s="61"/>
      <c r="DL45" s="61"/>
      <c r="DM45" s="72"/>
      <c r="DN45" s="64"/>
      <c r="DO45" s="72"/>
      <c r="DP45" s="64"/>
      <c r="DQ45" s="72"/>
      <c r="DR45" s="64"/>
      <c r="DS45" s="116">
        <v>0</v>
      </c>
      <c r="DT45" s="36"/>
      <c r="DU45" s="66"/>
      <c r="DV45" s="62"/>
      <c r="DW45" s="62"/>
      <c r="DX45" s="73"/>
      <c r="DY45" s="21"/>
      <c r="DZ45" s="140" t="s">
        <v>711</v>
      </c>
      <c r="EA45" s="241" t="s">
        <v>712</v>
      </c>
    </row>
    <row r="46" spans="1:131" x14ac:dyDescent="0.4">
      <c r="A46" s="4" t="s">
        <v>98</v>
      </c>
      <c r="B46" s="17" t="s">
        <v>113</v>
      </c>
      <c r="C46" s="8">
        <v>63.87</v>
      </c>
      <c r="D46" s="8">
        <v>-22.49</v>
      </c>
      <c r="E46" s="7" t="s">
        <v>46</v>
      </c>
      <c r="F46" s="5" t="s">
        <v>100</v>
      </c>
      <c r="G46" s="7"/>
      <c r="H46" s="4" t="s">
        <v>101</v>
      </c>
      <c r="I46" s="52"/>
      <c r="J46" s="53"/>
      <c r="K46" s="36"/>
      <c r="L46" s="38"/>
      <c r="M46" s="54"/>
      <c r="N46" s="55"/>
      <c r="O46" s="56"/>
      <c r="P46" s="36"/>
      <c r="Q46" s="36"/>
      <c r="R46" s="38"/>
      <c r="S46" s="54"/>
      <c r="T46" s="55"/>
      <c r="U46" s="102"/>
      <c r="V46" s="55"/>
      <c r="W46" s="55"/>
      <c r="X46" s="56"/>
      <c r="Y46" s="54"/>
      <c r="Z46" s="56"/>
      <c r="AA46" s="54"/>
      <c r="AB46" s="56"/>
      <c r="AC46" s="54"/>
      <c r="AD46" s="56"/>
      <c r="AE46" s="54"/>
      <c r="AF46" s="56"/>
      <c r="AG46" s="55"/>
      <c r="AH46" s="56"/>
      <c r="AI46" s="54"/>
      <c r="AJ46" s="56"/>
      <c r="AK46" s="55"/>
      <c r="AL46" s="56"/>
      <c r="AM46" s="54"/>
      <c r="AN46" s="56"/>
      <c r="AO46" s="59"/>
      <c r="AP46" s="60"/>
      <c r="AQ46" s="104"/>
      <c r="AR46" s="105"/>
      <c r="AS46" s="100" t="s">
        <v>552</v>
      </c>
      <c r="AT46" s="63"/>
      <c r="AU46" s="64"/>
      <c r="AV46" s="64"/>
      <c r="AW46" s="53"/>
      <c r="AX46" s="65"/>
      <c r="AY46" s="64"/>
      <c r="AZ46" s="64"/>
      <c r="BA46" s="53"/>
      <c r="BB46" s="63"/>
      <c r="BC46" s="64"/>
      <c r="BD46" s="64"/>
      <c r="BE46" s="53"/>
      <c r="BF46" s="36"/>
      <c r="BG46" s="38"/>
      <c r="BH46" s="63"/>
      <c r="BI46" s="64"/>
      <c r="BJ46" s="64"/>
      <c r="BK46" s="53"/>
      <c r="BL46" s="66">
        <v>240</v>
      </c>
      <c r="BM46" s="105">
        <v>260</v>
      </c>
      <c r="BN46" s="37"/>
      <c r="BO46" s="38"/>
      <c r="BP46" s="36"/>
      <c r="BQ46" s="38"/>
      <c r="BR46" s="37"/>
      <c r="BS46" s="38"/>
      <c r="BT46" s="35"/>
      <c r="BU46" s="38"/>
      <c r="BV46" s="66"/>
      <c r="BW46" s="62"/>
      <c r="BX46" s="66"/>
      <c r="BY46" s="62"/>
      <c r="BZ46" s="67"/>
      <c r="CA46" s="61"/>
      <c r="CB46" s="62"/>
      <c r="CC46" s="37"/>
      <c r="CD46" s="38"/>
      <c r="CE46" s="64"/>
      <c r="CF46" s="53"/>
      <c r="CG46" s="37"/>
      <c r="CH46" s="38"/>
      <c r="CI46" s="36"/>
      <c r="CJ46" s="38"/>
      <c r="CK46" s="37"/>
      <c r="CL46" s="38"/>
      <c r="CM46" s="36"/>
      <c r="CN46" s="38"/>
      <c r="CO46" s="37"/>
      <c r="CP46" s="38"/>
      <c r="CQ46" s="37"/>
      <c r="CR46" s="38"/>
      <c r="CS46" s="37"/>
      <c r="CT46" s="38"/>
      <c r="CU46" s="66">
        <v>600</v>
      </c>
      <c r="CV46" s="61">
        <v>1200</v>
      </c>
      <c r="CW46" s="134" t="s">
        <v>694</v>
      </c>
      <c r="CX46" s="68">
        <v>36892</v>
      </c>
      <c r="CY46" s="109"/>
      <c r="CZ46" s="134">
        <v>75</v>
      </c>
      <c r="DA46" s="60">
        <v>0.24399999999999999</v>
      </c>
      <c r="DB46" s="69"/>
      <c r="DC46" s="60"/>
      <c r="DD46" s="69"/>
      <c r="DE46" s="60"/>
      <c r="DF46" s="70"/>
      <c r="DG46" s="70"/>
      <c r="DH46" s="71">
        <v>39783</v>
      </c>
      <c r="DI46" s="64"/>
      <c r="DJ46" s="35">
        <v>82</v>
      </c>
      <c r="DK46" s="61">
        <v>4000</v>
      </c>
      <c r="DL46" s="61">
        <v>5000</v>
      </c>
      <c r="DM46" s="72"/>
      <c r="DN46" s="64"/>
      <c r="DO46" s="72"/>
      <c r="DP46" s="64"/>
      <c r="DQ46" s="72"/>
      <c r="DR46" s="64"/>
      <c r="DS46" s="70">
        <v>3.2</v>
      </c>
      <c r="DT46" s="36" t="s">
        <v>581</v>
      </c>
      <c r="DU46" s="66"/>
      <c r="DV46" s="62"/>
      <c r="DW46" s="105">
        <v>1000</v>
      </c>
      <c r="DX46" s="115">
        <v>39814</v>
      </c>
      <c r="DY46" s="114"/>
      <c r="DZ46" s="140" t="s">
        <v>713</v>
      </c>
      <c r="EA46" s="241" t="s">
        <v>712</v>
      </c>
    </row>
    <row r="47" spans="1:131" x14ac:dyDescent="0.4">
      <c r="A47" s="4" t="s">
        <v>114</v>
      </c>
      <c r="B47" s="5" t="s">
        <v>115</v>
      </c>
      <c r="C47" s="8">
        <v>42.613328000000003</v>
      </c>
      <c r="D47" s="8">
        <v>11.815375</v>
      </c>
      <c r="E47" s="7" t="s">
        <v>46</v>
      </c>
      <c r="F47" s="5" t="s">
        <v>47</v>
      </c>
      <c r="G47" s="7"/>
      <c r="H47" s="4" t="s">
        <v>116</v>
      </c>
      <c r="I47" s="52"/>
      <c r="J47" s="53"/>
      <c r="K47" s="36"/>
      <c r="L47" s="38"/>
      <c r="M47" s="54"/>
      <c r="N47" s="55"/>
      <c r="O47" s="56"/>
      <c r="P47" s="36"/>
      <c r="Q47" s="36"/>
      <c r="R47" s="38"/>
      <c r="S47" s="54"/>
      <c r="T47" s="55"/>
      <c r="U47" s="56"/>
      <c r="V47" s="55"/>
      <c r="W47" s="55"/>
      <c r="X47" s="56"/>
      <c r="Y47" s="54"/>
      <c r="Z47" s="56"/>
      <c r="AA47" s="54"/>
      <c r="AB47" s="56"/>
      <c r="AC47" s="54"/>
      <c r="AD47" s="56"/>
      <c r="AE47" s="54"/>
      <c r="AF47" s="56"/>
      <c r="AG47" s="55"/>
      <c r="AH47" s="56"/>
      <c r="AI47" s="54"/>
      <c r="AJ47" s="56"/>
      <c r="AK47" s="55"/>
      <c r="AL47" s="56"/>
      <c r="AM47" s="54"/>
      <c r="AN47" s="56"/>
      <c r="AO47" s="59"/>
      <c r="AP47" s="60"/>
      <c r="AQ47" s="61"/>
      <c r="AR47" s="62"/>
      <c r="AS47" s="38" t="s">
        <v>620</v>
      </c>
      <c r="AT47" s="63"/>
      <c r="AU47" s="64"/>
      <c r="AV47" s="64"/>
      <c r="AW47" s="53"/>
      <c r="AX47" s="65"/>
      <c r="AY47" s="64"/>
      <c r="AZ47" s="64"/>
      <c r="BA47" s="53"/>
      <c r="BB47" s="63"/>
      <c r="BC47" s="64"/>
      <c r="BD47" s="64"/>
      <c r="BE47" s="53"/>
      <c r="BF47" s="36"/>
      <c r="BG47" s="38"/>
      <c r="BH47" s="63"/>
      <c r="BI47" s="64"/>
      <c r="BJ47" s="64"/>
      <c r="BK47" s="53"/>
      <c r="BL47" s="66">
        <v>200</v>
      </c>
      <c r="BM47" s="62">
        <v>230</v>
      </c>
      <c r="BN47" s="37"/>
      <c r="BO47" s="38"/>
      <c r="BP47" s="36"/>
      <c r="BQ47" s="38"/>
      <c r="BR47" s="37"/>
      <c r="BS47" s="38"/>
      <c r="BT47" s="35"/>
      <c r="BU47" s="38"/>
      <c r="BV47" s="66"/>
      <c r="BW47" s="62"/>
      <c r="BX47" s="66"/>
      <c r="BY47" s="62"/>
      <c r="BZ47" s="67"/>
      <c r="CA47" s="61"/>
      <c r="CB47" s="62"/>
      <c r="CC47" s="37"/>
      <c r="CD47" s="38"/>
      <c r="CE47" s="64"/>
      <c r="CF47" s="53"/>
      <c r="CG47" s="37"/>
      <c r="CH47" s="38"/>
      <c r="CI47" s="36"/>
      <c r="CJ47" s="38"/>
      <c r="CK47" s="37"/>
      <c r="CL47" s="38"/>
      <c r="CM47" s="36"/>
      <c r="CN47" s="38"/>
      <c r="CO47" s="37"/>
      <c r="CP47" s="38"/>
      <c r="CQ47" s="37"/>
      <c r="CR47" s="38"/>
      <c r="CS47" s="37"/>
      <c r="CT47" s="38"/>
      <c r="CU47" s="66">
        <v>600</v>
      </c>
      <c r="CV47" s="61">
        <v>2000</v>
      </c>
      <c r="CW47" s="35" t="s">
        <v>714</v>
      </c>
      <c r="CX47" s="68">
        <v>29281</v>
      </c>
      <c r="CY47" s="37" t="s">
        <v>603</v>
      </c>
      <c r="CZ47" s="35"/>
      <c r="DA47" s="60">
        <v>8.3000000000000004E-2</v>
      </c>
      <c r="DB47" s="69">
        <v>30000</v>
      </c>
      <c r="DC47" s="60"/>
      <c r="DD47" s="69"/>
      <c r="DE47" s="60"/>
      <c r="DF47" s="70">
        <v>9</v>
      </c>
      <c r="DG47" s="70"/>
      <c r="DH47" s="71"/>
      <c r="DI47" s="64"/>
      <c r="DJ47" s="35"/>
      <c r="DK47" s="61"/>
      <c r="DL47" s="61"/>
      <c r="DM47" s="72"/>
      <c r="DN47" s="64"/>
      <c r="DO47" s="72"/>
      <c r="DP47" s="64"/>
      <c r="DQ47" s="72"/>
      <c r="DR47" s="64"/>
      <c r="DS47" s="70">
        <v>2.9</v>
      </c>
      <c r="DT47" s="36" t="s">
        <v>581</v>
      </c>
      <c r="DU47" s="66">
        <v>150</v>
      </c>
      <c r="DV47" s="62">
        <v>1500</v>
      </c>
      <c r="DW47" s="62">
        <v>200</v>
      </c>
      <c r="DX47" s="73">
        <v>31025</v>
      </c>
      <c r="DY47" s="36"/>
      <c r="DZ47" s="74" t="s">
        <v>715</v>
      </c>
      <c r="EA47" s="241" t="s">
        <v>716</v>
      </c>
    </row>
    <row r="48" spans="1:131" x14ac:dyDescent="0.4">
      <c r="A48" s="4" t="s">
        <v>117</v>
      </c>
      <c r="B48" s="5" t="s">
        <v>118</v>
      </c>
      <c r="C48" s="8">
        <v>38.606251999999998</v>
      </c>
      <c r="D48" s="8">
        <v>140.15998500000001</v>
      </c>
      <c r="E48" s="7" t="s">
        <v>46</v>
      </c>
      <c r="F48" s="5" t="s">
        <v>92</v>
      </c>
      <c r="G48" s="7"/>
      <c r="H48" s="4" t="s">
        <v>119</v>
      </c>
      <c r="I48" s="52"/>
      <c r="J48" s="53"/>
      <c r="K48" s="36">
        <v>2700</v>
      </c>
      <c r="L48" s="38"/>
      <c r="M48" s="54">
        <v>0.01</v>
      </c>
      <c r="N48" s="55"/>
      <c r="O48" s="56">
        <v>0.01</v>
      </c>
      <c r="P48" s="59">
        <v>9.9999999999999998E-17</v>
      </c>
      <c r="Q48" s="36"/>
      <c r="R48" s="60">
        <f>AVERAGE(P48,Q48)</f>
        <v>9.9999999999999998E-17</v>
      </c>
      <c r="S48" s="54">
        <v>60</v>
      </c>
      <c r="T48" s="55"/>
      <c r="U48" s="56">
        <f>AVERAGE(S48,T48)</f>
        <v>60</v>
      </c>
      <c r="V48" s="55">
        <v>0.25</v>
      </c>
      <c r="W48" s="55"/>
      <c r="X48" s="56">
        <f>AVERAGE(V48,W48)</f>
        <v>0.25</v>
      </c>
      <c r="Y48" s="54">
        <v>40</v>
      </c>
      <c r="Z48" s="56"/>
      <c r="AA48" s="54">
        <v>24</v>
      </c>
      <c r="AB48" s="56"/>
      <c r="AC48" s="54"/>
      <c r="AD48" s="56"/>
      <c r="AE48" s="54"/>
      <c r="AF48" s="56"/>
      <c r="AG48" s="55"/>
      <c r="AH48" s="56"/>
      <c r="AI48" s="54"/>
      <c r="AJ48" s="56"/>
      <c r="AK48" s="55"/>
      <c r="AL48" s="56"/>
      <c r="AM48" s="54"/>
      <c r="AN48" s="56">
        <v>3</v>
      </c>
      <c r="AO48" s="59"/>
      <c r="AP48" s="60"/>
      <c r="AQ48" s="61"/>
      <c r="AR48" s="62"/>
      <c r="AS48" s="38" t="s">
        <v>577</v>
      </c>
      <c r="AT48" s="63">
        <v>2.6100000000000002E-2</v>
      </c>
      <c r="AU48" s="64">
        <v>0</v>
      </c>
      <c r="AV48" s="64">
        <f>PRODUCT(AT48,CU48)</f>
        <v>46.666800000000002</v>
      </c>
      <c r="AW48" s="53">
        <f>PRODUCT(AT48,CV48)</f>
        <v>47.032200000000003</v>
      </c>
      <c r="AX48" s="65">
        <v>6.8199999999999997E-2</v>
      </c>
      <c r="AY48" s="64">
        <v>0</v>
      </c>
      <c r="AZ48" s="64">
        <f>PRODUCT(AX48,CU48)</f>
        <v>121.94159999999999</v>
      </c>
      <c r="BA48" s="53">
        <f>PRODUCT(AX48,CV48)</f>
        <v>122.8964</v>
      </c>
      <c r="BB48" s="63">
        <v>4.2599999999999999E-2</v>
      </c>
      <c r="BC48" s="64">
        <v>0</v>
      </c>
      <c r="BD48" s="64">
        <f>PRODUCT(BB48,CU48)</f>
        <v>76.168800000000005</v>
      </c>
      <c r="BE48" s="53">
        <f>PRODUCT(BB48,CV48)</f>
        <v>76.765199999999993</v>
      </c>
      <c r="BF48" s="36" t="s">
        <v>717</v>
      </c>
      <c r="BG48" s="38" t="s">
        <v>718</v>
      </c>
      <c r="BH48" s="63">
        <v>8.8000000000000005E-3</v>
      </c>
      <c r="BI48" s="64">
        <v>0</v>
      </c>
      <c r="BJ48" s="64">
        <f>PRODUCT(BH48,CU48)</f>
        <v>15.734400000000001</v>
      </c>
      <c r="BK48" s="53">
        <f>PRODUCT(BH48,CV48)</f>
        <v>15.857600000000001</v>
      </c>
      <c r="BL48" s="66">
        <v>270</v>
      </c>
      <c r="BM48" s="62"/>
      <c r="BN48" s="37"/>
      <c r="BO48" s="38"/>
      <c r="BP48" s="36"/>
      <c r="BQ48" s="38"/>
      <c r="BR48" s="37"/>
      <c r="BS48" s="38"/>
      <c r="BT48" s="35"/>
      <c r="BU48" s="38" t="s">
        <v>552</v>
      </c>
      <c r="BV48" s="66"/>
      <c r="BW48" s="62"/>
      <c r="BX48" s="66"/>
      <c r="BY48" s="62"/>
      <c r="BZ48" s="67"/>
      <c r="CA48" s="61"/>
      <c r="CB48" s="62"/>
      <c r="CC48" s="37"/>
      <c r="CD48" s="38"/>
      <c r="CE48" s="64"/>
      <c r="CF48" s="53"/>
      <c r="CG48" s="37"/>
      <c r="CH48" s="38"/>
      <c r="CI48" s="36"/>
      <c r="CJ48" s="38"/>
      <c r="CK48" s="37"/>
      <c r="CL48" s="38"/>
      <c r="CM48" s="36"/>
      <c r="CN48" s="38"/>
      <c r="CO48" s="37"/>
      <c r="CP48" s="38"/>
      <c r="CQ48" s="37"/>
      <c r="CR48" s="38"/>
      <c r="CS48" s="37"/>
      <c r="CT48" s="38"/>
      <c r="CU48" s="66">
        <v>1788</v>
      </c>
      <c r="CV48" s="61">
        <v>1802</v>
      </c>
      <c r="CW48" s="35" t="s">
        <v>671</v>
      </c>
      <c r="CX48" s="68">
        <v>32800</v>
      </c>
      <c r="CY48" s="37" t="s">
        <v>597</v>
      </c>
      <c r="CZ48" s="35">
        <v>45</v>
      </c>
      <c r="DA48" s="60">
        <v>3.3000000000000002E-2</v>
      </c>
      <c r="DB48" s="69">
        <v>44500</v>
      </c>
      <c r="DC48" s="60"/>
      <c r="DD48" s="69">
        <v>31500</v>
      </c>
      <c r="DE48" s="60"/>
      <c r="DF48" s="70">
        <v>7.2</v>
      </c>
      <c r="DG48" s="70"/>
      <c r="DH48" s="71"/>
      <c r="DI48" s="64"/>
      <c r="DJ48" s="35" t="s">
        <v>719</v>
      </c>
      <c r="DK48" s="61">
        <v>1500</v>
      </c>
      <c r="DL48" s="61">
        <v>1800</v>
      </c>
      <c r="DM48" s="72"/>
      <c r="DN48" s="64"/>
      <c r="DO48" s="72"/>
      <c r="DP48" s="64"/>
      <c r="DQ48" s="72"/>
      <c r="DR48" s="64"/>
      <c r="DS48" s="70">
        <v>-1</v>
      </c>
      <c r="DT48" s="36" t="s">
        <v>541</v>
      </c>
      <c r="DU48" s="66"/>
      <c r="DV48" s="62"/>
      <c r="DW48" s="62"/>
      <c r="DX48" s="73"/>
      <c r="DY48" s="114"/>
      <c r="DZ48" s="74" t="s">
        <v>720</v>
      </c>
      <c r="EA48" s="241" t="s">
        <v>721</v>
      </c>
    </row>
    <row r="49" spans="1:131" x14ac:dyDescent="0.4">
      <c r="A49" s="4" t="s">
        <v>117</v>
      </c>
      <c r="B49" s="5" t="s">
        <v>120</v>
      </c>
      <c r="C49" s="8">
        <v>38.606251999999998</v>
      </c>
      <c r="D49" s="8">
        <v>140.15998500000001</v>
      </c>
      <c r="E49" s="7" t="s">
        <v>46</v>
      </c>
      <c r="F49" s="5" t="s">
        <v>47</v>
      </c>
      <c r="G49" s="7"/>
      <c r="H49" s="4" t="s">
        <v>119</v>
      </c>
      <c r="I49" s="52"/>
      <c r="J49" s="53"/>
      <c r="K49" s="36">
        <v>2700</v>
      </c>
      <c r="L49" s="38"/>
      <c r="M49" s="54">
        <v>0.01</v>
      </c>
      <c r="N49" s="55"/>
      <c r="O49" s="56">
        <v>0.01</v>
      </c>
      <c r="P49" s="59">
        <v>9.9999999999999998E-17</v>
      </c>
      <c r="Q49" s="36"/>
      <c r="R49" s="60">
        <f>AVERAGE(P49,Q49)</f>
        <v>9.9999999999999998E-17</v>
      </c>
      <c r="S49" s="54">
        <v>60</v>
      </c>
      <c r="T49" s="55"/>
      <c r="U49" s="56">
        <f>AVERAGE(S49,T49)</f>
        <v>60</v>
      </c>
      <c r="V49" s="55">
        <v>0.25</v>
      </c>
      <c r="W49" s="55"/>
      <c r="X49" s="56">
        <f>AVERAGE(V49,W49)</f>
        <v>0.25</v>
      </c>
      <c r="Y49" s="54">
        <v>40</v>
      </c>
      <c r="Z49" s="56"/>
      <c r="AA49" s="54">
        <v>24</v>
      </c>
      <c r="AB49" s="56"/>
      <c r="AC49" s="54"/>
      <c r="AD49" s="56"/>
      <c r="AE49" s="54"/>
      <c r="AF49" s="56"/>
      <c r="AG49" s="55"/>
      <c r="AH49" s="56"/>
      <c r="AI49" s="54"/>
      <c r="AJ49" s="56"/>
      <c r="AK49" s="55"/>
      <c r="AL49" s="56"/>
      <c r="AM49" s="54"/>
      <c r="AN49" s="56">
        <v>3</v>
      </c>
      <c r="AO49" s="59"/>
      <c r="AP49" s="60"/>
      <c r="AQ49" s="61"/>
      <c r="AR49" s="62"/>
      <c r="AS49" s="38" t="s">
        <v>577</v>
      </c>
      <c r="AT49" s="63">
        <v>2.6100000000000002E-2</v>
      </c>
      <c r="AU49" s="64">
        <v>0</v>
      </c>
      <c r="AV49" s="64">
        <f>PRODUCT(AT49,CU49)</f>
        <v>46.666800000000002</v>
      </c>
      <c r="AW49" s="53">
        <f>PRODUCT(AT49,CV49)</f>
        <v>47.032200000000003</v>
      </c>
      <c r="AX49" s="65">
        <v>6.8199999999999997E-2</v>
      </c>
      <c r="AY49" s="64">
        <v>0</v>
      </c>
      <c r="AZ49" s="64">
        <f>PRODUCT(AX49,CU49)</f>
        <v>121.94159999999999</v>
      </c>
      <c r="BA49" s="53">
        <f>PRODUCT(AX49,CV49)</f>
        <v>122.8964</v>
      </c>
      <c r="BB49" s="63">
        <v>4.2599999999999999E-2</v>
      </c>
      <c r="BC49" s="64">
        <v>0</v>
      </c>
      <c r="BD49" s="64">
        <f>PRODUCT(BB49,CU49)</f>
        <v>76.168800000000005</v>
      </c>
      <c r="BE49" s="53">
        <f>PRODUCT(BB49,CV49)</f>
        <v>76.765199999999993</v>
      </c>
      <c r="BF49" s="36" t="s">
        <v>717</v>
      </c>
      <c r="BG49" s="38" t="s">
        <v>718</v>
      </c>
      <c r="BH49" s="63">
        <v>8.8000000000000005E-3</v>
      </c>
      <c r="BI49" s="64">
        <v>0</v>
      </c>
      <c r="BJ49" s="64">
        <f>PRODUCT(BH49,CU49)</f>
        <v>15.734400000000001</v>
      </c>
      <c r="BK49" s="53">
        <f>PRODUCT(BH49,CV49)</f>
        <v>15.857600000000001</v>
      </c>
      <c r="BL49" s="66">
        <v>270</v>
      </c>
      <c r="BM49" s="62"/>
      <c r="BN49" s="37"/>
      <c r="BO49" s="38"/>
      <c r="BP49" s="36"/>
      <c r="BQ49" s="38"/>
      <c r="BR49" s="37"/>
      <c r="BS49" s="38"/>
      <c r="BT49" s="35"/>
      <c r="BU49" s="38" t="s">
        <v>552</v>
      </c>
      <c r="BV49" s="66"/>
      <c r="BW49" s="62"/>
      <c r="BX49" s="66"/>
      <c r="BY49" s="62"/>
      <c r="BZ49" s="67"/>
      <c r="CA49" s="61"/>
      <c r="CB49" s="62"/>
      <c r="CC49" s="37"/>
      <c r="CD49" s="38"/>
      <c r="CE49" s="64"/>
      <c r="CF49" s="53"/>
      <c r="CG49" s="37"/>
      <c r="CH49" s="38"/>
      <c r="CI49" s="36"/>
      <c r="CJ49" s="38"/>
      <c r="CK49" s="37"/>
      <c r="CL49" s="38"/>
      <c r="CM49" s="36"/>
      <c r="CN49" s="38"/>
      <c r="CO49" s="37"/>
      <c r="CP49" s="38"/>
      <c r="CQ49" s="37"/>
      <c r="CR49" s="38"/>
      <c r="CS49" s="37"/>
      <c r="CT49" s="38"/>
      <c r="CU49" s="66">
        <v>1788</v>
      </c>
      <c r="CV49" s="61">
        <v>1802</v>
      </c>
      <c r="CW49" s="35" t="s">
        <v>266</v>
      </c>
      <c r="CX49" s="68">
        <v>32343</v>
      </c>
      <c r="CY49" s="37" t="s">
        <v>597</v>
      </c>
      <c r="CZ49" s="35">
        <v>45</v>
      </c>
      <c r="DA49" s="60">
        <v>0.1033</v>
      </c>
      <c r="DB49" s="69">
        <v>2000</v>
      </c>
      <c r="DC49" s="60"/>
      <c r="DD49" s="69"/>
      <c r="DE49" s="60"/>
      <c r="DF49" s="70">
        <v>16</v>
      </c>
      <c r="DG49" s="70"/>
      <c r="DH49" s="71"/>
      <c r="DI49" s="64"/>
      <c r="DJ49" s="35" t="s">
        <v>722</v>
      </c>
      <c r="DK49" s="61">
        <v>1650</v>
      </c>
      <c r="DL49" s="61">
        <v>1900</v>
      </c>
      <c r="DM49" s="72"/>
      <c r="DN49" s="64"/>
      <c r="DO49" s="72"/>
      <c r="DP49" s="64"/>
      <c r="DQ49" s="72"/>
      <c r="DR49" s="64"/>
      <c r="DS49" s="70">
        <v>-1</v>
      </c>
      <c r="DT49" s="36" t="s">
        <v>541</v>
      </c>
      <c r="DU49" s="66"/>
      <c r="DV49" s="62"/>
      <c r="DW49" s="62"/>
      <c r="DX49" s="73">
        <v>32143</v>
      </c>
      <c r="DY49" s="4"/>
      <c r="DZ49" s="74" t="s">
        <v>723</v>
      </c>
      <c r="EA49" s="241" t="s">
        <v>724</v>
      </c>
    </row>
    <row r="50" spans="1:131" x14ac:dyDescent="0.4">
      <c r="A50" s="4" t="s">
        <v>117</v>
      </c>
      <c r="B50" s="5" t="s">
        <v>121</v>
      </c>
      <c r="C50" s="8">
        <v>38.977437000000002</v>
      </c>
      <c r="D50" s="8">
        <v>140.51674299999999</v>
      </c>
      <c r="E50" s="7" t="s">
        <v>46</v>
      </c>
      <c r="F50" s="5" t="s">
        <v>47</v>
      </c>
      <c r="G50" s="7"/>
      <c r="H50" s="4" t="s">
        <v>119</v>
      </c>
      <c r="I50" s="52"/>
      <c r="J50" s="53"/>
      <c r="K50" s="36"/>
      <c r="L50" s="38"/>
      <c r="M50" s="54">
        <v>2.8000000000000001E-2</v>
      </c>
      <c r="N50" s="55">
        <v>0.04</v>
      </c>
      <c r="O50" s="56">
        <f>AVERAGE(M50,N50)</f>
        <v>3.4000000000000002E-2</v>
      </c>
      <c r="P50" s="59">
        <v>1.0000000000000001E-15</v>
      </c>
      <c r="Q50" s="59">
        <v>2.9999999999999998E-15</v>
      </c>
      <c r="R50" s="60">
        <f>AVERAGE(P50,Q50)</f>
        <v>2.0000000000000002E-15</v>
      </c>
      <c r="S50" s="54"/>
      <c r="T50" s="55">
        <v>54</v>
      </c>
      <c r="U50" s="56">
        <f>AVERAGE(S50,T50)</f>
        <v>54</v>
      </c>
      <c r="V50" s="55"/>
      <c r="W50" s="55">
        <v>0.25</v>
      </c>
      <c r="X50" s="56">
        <f>AVERAGE(V50,W50)</f>
        <v>0.25</v>
      </c>
      <c r="Y50" s="54"/>
      <c r="Z50" s="56">
        <v>36</v>
      </c>
      <c r="AA50" s="54"/>
      <c r="AB50" s="56">
        <v>21.6</v>
      </c>
      <c r="AC50" s="54"/>
      <c r="AD50" s="56"/>
      <c r="AE50" s="54"/>
      <c r="AF50" s="56"/>
      <c r="AG50" s="55"/>
      <c r="AH50" s="56"/>
      <c r="AI50" s="54"/>
      <c r="AJ50" s="56"/>
      <c r="AK50" s="55"/>
      <c r="AL50" s="56"/>
      <c r="AM50" s="54"/>
      <c r="AN50" s="56"/>
      <c r="AO50" s="59"/>
      <c r="AP50" s="60"/>
      <c r="AQ50" s="61"/>
      <c r="AR50" s="62"/>
      <c r="AS50" s="38" t="s">
        <v>725</v>
      </c>
      <c r="AT50" s="63">
        <v>2.5000000000000001E-2</v>
      </c>
      <c r="AU50" s="64">
        <v>0</v>
      </c>
      <c r="AV50" s="64">
        <f>PRODUCT(AT50,CU50)</f>
        <v>24.75</v>
      </c>
      <c r="AW50" s="53">
        <f>PRODUCT(AT50,CV50)</f>
        <v>25</v>
      </c>
      <c r="AX50" s="65">
        <v>3.5000000000000003E-2</v>
      </c>
      <c r="AY50" s="64">
        <v>0</v>
      </c>
      <c r="AZ50" s="64">
        <f>PRODUCT(AX50,CU50)</f>
        <v>34.650000000000006</v>
      </c>
      <c r="BA50" s="53">
        <f>PRODUCT(AX50,CV50)</f>
        <v>35</v>
      </c>
      <c r="BB50" s="63">
        <f>22/1000</f>
        <v>2.1999999999999999E-2</v>
      </c>
      <c r="BC50" s="64">
        <v>0</v>
      </c>
      <c r="BD50" s="64">
        <f>PRODUCT(BB50,CU50)</f>
        <v>21.779999999999998</v>
      </c>
      <c r="BE50" s="53">
        <f>PRODUCT(BB50,CV50)</f>
        <v>22</v>
      </c>
      <c r="BF50" s="36" t="s">
        <v>726</v>
      </c>
      <c r="BG50" s="38"/>
      <c r="BH50" s="63"/>
      <c r="BI50" s="64"/>
      <c r="BJ50" s="64"/>
      <c r="BK50" s="53"/>
      <c r="BL50" s="66">
        <v>228</v>
      </c>
      <c r="BM50" s="62"/>
      <c r="BN50" s="37"/>
      <c r="BO50" s="38"/>
      <c r="BP50" s="36"/>
      <c r="BQ50" s="38"/>
      <c r="BR50" s="37"/>
      <c r="BS50" s="38"/>
      <c r="BT50" s="35"/>
      <c r="BU50" s="38"/>
      <c r="BV50" s="66"/>
      <c r="BW50" s="62"/>
      <c r="BX50" s="66"/>
      <c r="BY50" s="62"/>
      <c r="BZ50" s="67"/>
      <c r="CA50" s="61"/>
      <c r="CB50" s="62"/>
      <c r="CC50" s="37"/>
      <c r="CD50" s="38"/>
      <c r="CE50" s="64"/>
      <c r="CF50" s="53"/>
      <c r="CG50" s="37"/>
      <c r="CH50" s="38"/>
      <c r="CI50" s="36"/>
      <c r="CJ50" s="38"/>
      <c r="CK50" s="37"/>
      <c r="CL50" s="38"/>
      <c r="CM50" s="36"/>
      <c r="CN50" s="38"/>
      <c r="CO50" s="37"/>
      <c r="CP50" s="38"/>
      <c r="CQ50" s="37"/>
      <c r="CR50" s="38"/>
      <c r="CS50" s="37"/>
      <c r="CT50" s="38"/>
      <c r="CU50" s="66">
        <v>990</v>
      </c>
      <c r="CV50" s="61">
        <v>1000</v>
      </c>
      <c r="CW50" s="35"/>
      <c r="CX50" s="68">
        <v>33239</v>
      </c>
      <c r="CY50" s="37" t="s">
        <v>727</v>
      </c>
      <c r="CZ50" s="35"/>
      <c r="DA50" s="60">
        <v>1.1390000000000001E-2</v>
      </c>
      <c r="DB50" s="69">
        <v>9200</v>
      </c>
      <c r="DC50" s="60"/>
      <c r="DD50" s="69"/>
      <c r="DE50" s="60"/>
      <c r="DF50" s="70">
        <v>20</v>
      </c>
      <c r="DG50" s="70"/>
      <c r="DH50" s="71"/>
      <c r="DI50" s="64"/>
      <c r="DJ50" s="35">
        <v>1553</v>
      </c>
      <c r="DK50" s="61">
        <v>800</v>
      </c>
      <c r="DL50" s="61">
        <v>1300</v>
      </c>
      <c r="DM50" s="72"/>
      <c r="DN50" s="64"/>
      <c r="DO50" s="72"/>
      <c r="DP50" s="64"/>
      <c r="DQ50" s="72"/>
      <c r="DR50" s="64">
        <v>1.1000000000000001</v>
      </c>
      <c r="DS50" s="70">
        <v>2</v>
      </c>
      <c r="DT50" s="36" t="s">
        <v>541</v>
      </c>
      <c r="DU50" s="66"/>
      <c r="DV50" s="62"/>
      <c r="DW50" s="62"/>
      <c r="DX50" s="73"/>
      <c r="DY50" s="114"/>
      <c r="DZ50" s="74" t="s">
        <v>728</v>
      </c>
      <c r="EA50" s="241" t="s">
        <v>729</v>
      </c>
    </row>
    <row r="51" spans="1:131" x14ac:dyDescent="0.4">
      <c r="A51" s="4" t="s">
        <v>122</v>
      </c>
      <c r="B51" s="5" t="s">
        <v>123</v>
      </c>
      <c r="C51" s="8">
        <v>55.44</v>
      </c>
      <c r="D51" s="8">
        <v>21.49</v>
      </c>
      <c r="E51" s="7" t="s">
        <v>46</v>
      </c>
      <c r="F51" s="5" t="s">
        <v>124</v>
      </c>
      <c r="G51" s="7" t="s">
        <v>125</v>
      </c>
      <c r="H51" s="4" t="s">
        <v>23</v>
      </c>
      <c r="I51" s="52"/>
      <c r="J51" s="53"/>
      <c r="K51" s="36"/>
      <c r="L51" s="38"/>
      <c r="M51" s="54">
        <v>0.2</v>
      </c>
      <c r="N51" s="55">
        <v>0.3</v>
      </c>
      <c r="O51" s="56">
        <v>0.25</v>
      </c>
      <c r="P51" s="59">
        <v>2.0000000000000001E-13</v>
      </c>
      <c r="Q51" s="59">
        <v>6.2000000000000002E-12</v>
      </c>
      <c r="R51" s="60">
        <f>AVERAGE(P51,Q51)</f>
        <v>3.2000000000000001E-12</v>
      </c>
      <c r="S51" s="54"/>
      <c r="T51" s="55"/>
      <c r="U51" s="56"/>
      <c r="V51" s="55"/>
      <c r="W51" s="55"/>
      <c r="X51" s="56"/>
      <c r="Y51" s="54"/>
      <c r="Z51" s="56"/>
      <c r="AA51" s="54"/>
      <c r="AB51" s="56"/>
      <c r="AC51" s="54"/>
      <c r="AD51" s="56"/>
      <c r="AE51" s="54"/>
      <c r="AF51" s="56"/>
      <c r="AG51" s="55"/>
      <c r="AH51" s="56"/>
      <c r="AI51" s="54"/>
      <c r="AJ51" s="56"/>
      <c r="AK51" s="55"/>
      <c r="AL51" s="56"/>
      <c r="AM51" s="54"/>
      <c r="AN51" s="56"/>
      <c r="AO51" s="59"/>
      <c r="AP51" s="60"/>
      <c r="AQ51" s="61">
        <v>2200</v>
      </c>
      <c r="AR51" s="62"/>
      <c r="AS51" s="38"/>
      <c r="AT51" s="63"/>
      <c r="AU51" s="64"/>
      <c r="AV51" s="64"/>
      <c r="AW51" s="53"/>
      <c r="AX51" s="65"/>
      <c r="AY51" s="64"/>
      <c r="AZ51" s="64"/>
      <c r="BA51" s="53"/>
      <c r="BB51" s="63"/>
      <c r="BC51" s="64"/>
      <c r="BD51" s="64"/>
      <c r="BE51" s="53"/>
      <c r="BF51" s="36"/>
      <c r="BG51" s="38"/>
      <c r="BH51" s="63"/>
      <c r="BI51" s="64"/>
      <c r="BJ51" s="64"/>
      <c r="BK51" s="53"/>
      <c r="BL51" s="66">
        <v>40</v>
      </c>
      <c r="BM51" s="62"/>
      <c r="BN51" s="37"/>
      <c r="BO51" s="38"/>
      <c r="BP51" s="36"/>
      <c r="BQ51" s="38"/>
      <c r="BR51" s="37"/>
      <c r="BS51" s="38"/>
      <c r="BT51" s="35"/>
      <c r="BU51" s="38"/>
      <c r="BV51" s="66"/>
      <c r="BW51" s="62"/>
      <c r="BX51" s="66"/>
      <c r="BY51" s="62"/>
      <c r="BZ51" s="67"/>
      <c r="CA51" s="61"/>
      <c r="CB51" s="62"/>
      <c r="CC51" s="37"/>
      <c r="CD51" s="38"/>
      <c r="CE51" s="64"/>
      <c r="CF51" s="53"/>
      <c r="CG51" s="37"/>
      <c r="CH51" s="38"/>
      <c r="CI51" s="36"/>
      <c r="CJ51" s="38"/>
      <c r="CK51" s="37"/>
      <c r="CL51" s="38"/>
      <c r="CM51" s="36"/>
      <c r="CN51" s="38"/>
      <c r="CO51" s="37"/>
      <c r="CP51" s="38"/>
      <c r="CQ51" s="37"/>
      <c r="CR51" s="38"/>
      <c r="CS51" s="37"/>
      <c r="CT51" s="38"/>
      <c r="CU51" s="66">
        <v>1225</v>
      </c>
      <c r="CV51" s="61">
        <v>1228</v>
      </c>
      <c r="CW51" s="35" t="s">
        <v>671</v>
      </c>
      <c r="CX51" s="68">
        <v>35065</v>
      </c>
      <c r="CY51" s="37" t="s">
        <v>603</v>
      </c>
      <c r="CZ51" s="35"/>
      <c r="DA51" s="60">
        <v>0.16700000000000001</v>
      </c>
      <c r="DB51" s="69"/>
      <c r="DC51" s="60"/>
      <c r="DD51" s="69"/>
      <c r="DE51" s="60"/>
      <c r="DF51" s="70"/>
      <c r="DG51" s="70"/>
      <c r="DH51" s="71"/>
      <c r="DI51" s="64"/>
      <c r="DJ51" s="35"/>
      <c r="DK51" s="61"/>
      <c r="DL51" s="61"/>
      <c r="DM51" s="72"/>
      <c r="DN51" s="64"/>
      <c r="DO51" s="72"/>
      <c r="DP51" s="64"/>
      <c r="DQ51" s="72"/>
      <c r="DR51" s="64"/>
      <c r="DS51" s="70">
        <v>2.6</v>
      </c>
      <c r="DT51" s="36" t="s">
        <v>581</v>
      </c>
      <c r="DU51" s="66"/>
      <c r="DV51" s="62">
        <v>1000</v>
      </c>
      <c r="DW51" s="62"/>
      <c r="DX51" s="73">
        <v>41072</v>
      </c>
      <c r="DY51" s="114"/>
      <c r="DZ51" s="74" t="s">
        <v>730</v>
      </c>
      <c r="EA51" s="241" t="s">
        <v>731</v>
      </c>
    </row>
    <row r="52" spans="1:131" ht="23.15" x14ac:dyDescent="0.4">
      <c r="A52" s="4" t="s">
        <v>126</v>
      </c>
      <c r="B52" s="17" t="s">
        <v>127</v>
      </c>
      <c r="C52" s="8">
        <v>32.412728000000001</v>
      </c>
      <c r="D52" s="8">
        <v>-115.243853</v>
      </c>
      <c r="E52" s="7" t="s">
        <v>46</v>
      </c>
      <c r="F52" s="17" t="s">
        <v>124</v>
      </c>
      <c r="G52" s="7"/>
      <c r="H52" s="21" t="s">
        <v>128</v>
      </c>
      <c r="I52" s="52" t="s">
        <v>732</v>
      </c>
      <c r="J52" s="53"/>
      <c r="K52" s="36"/>
      <c r="L52" s="38"/>
      <c r="M52" s="101">
        <v>4.2000000000000003E-2</v>
      </c>
      <c r="N52" s="103">
        <v>0.35</v>
      </c>
      <c r="O52" s="56">
        <f>AVERAGE(M52,N52)</f>
        <v>0.19599999999999998</v>
      </c>
      <c r="P52" s="57">
        <v>1.0000000000000001E-15</v>
      </c>
      <c r="Q52" s="57">
        <v>2E-14</v>
      </c>
      <c r="R52" s="60">
        <f>AVERAGE(P52,Q52)</f>
        <v>1.0499999999999999E-14</v>
      </c>
      <c r="S52" s="54"/>
      <c r="T52" s="55"/>
      <c r="U52" s="102"/>
      <c r="V52" s="103">
        <v>0.25</v>
      </c>
      <c r="W52" s="103">
        <v>0.35</v>
      </c>
      <c r="X52" s="56">
        <f>AVERAGE(V52,W52)</f>
        <v>0.3</v>
      </c>
      <c r="Y52" s="54"/>
      <c r="Z52" s="56"/>
      <c r="AA52" s="54"/>
      <c r="AB52" s="56"/>
      <c r="AC52" s="101"/>
      <c r="AD52" s="102"/>
      <c r="AE52" s="54"/>
      <c r="AF52" s="56"/>
      <c r="AG52" s="55"/>
      <c r="AH52" s="56"/>
      <c r="AI52" s="54"/>
      <c r="AJ52" s="56"/>
      <c r="AK52" s="55"/>
      <c r="AL52" s="56"/>
      <c r="AM52" s="101">
        <v>1.99</v>
      </c>
      <c r="AN52" s="102">
        <v>4.6399999999999997</v>
      </c>
      <c r="AO52" s="59"/>
      <c r="AP52" s="60"/>
      <c r="AQ52" s="104"/>
      <c r="AR52" s="105"/>
      <c r="AS52" s="100" t="s">
        <v>535</v>
      </c>
      <c r="AT52" s="63"/>
      <c r="AU52" s="64"/>
      <c r="AV52" s="64"/>
      <c r="AW52" s="53"/>
      <c r="AX52" s="65"/>
      <c r="AY52" s="64"/>
      <c r="AZ52" s="64"/>
      <c r="BA52" s="53"/>
      <c r="BB52" s="63"/>
      <c r="BC52" s="64"/>
      <c r="BD52" s="64"/>
      <c r="BE52" s="53"/>
      <c r="BF52" s="99" t="s">
        <v>733</v>
      </c>
      <c r="BG52" s="38"/>
      <c r="BH52" s="63"/>
      <c r="BI52" s="64"/>
      <c r="BJ52" s="64"/>
      <c r="BK52" s="53"/>
      <c r="BL52" s="66">
        <v>250</v>
      </c>
      <c r="BM52" s="62">
        <v>350</v>
      </c>
      <c r="BN52" s="109" t="s">
        <v>536</v>
      </c>
      <c r="BO52" s="38"/>
      <c r="BP52" s="99">
        <v>45</v>
      </c>
      <c r="BQ52" s="38"/>
      <c r="BR52" s="37"/>
      <c r="BS52" s="38"/>
      <c r="BT52" s="134" t="s">
        <v>734</v>
      </c>
      <c r="BU52" s="100" t="s">
        <v>552</v>
      </c>
      <c r="BV52" s="66"/>
      <c r="BW52" s="62"/>
      <c r="BX52" s="66"/>
      <c r="BY52" s="62"/>
      <c r="BZ52" s="67"/>
      <c r="CA52" s="61"/>
      <c r="CB52" s="62"/>
      <c r="CC52" s="37"/>
      <c r="CD52" s="38"/>
      <c r="CE52" s="64"/>
      <c r="CF52" s="53"/>
      <c r="CG52" s="112">
        <v>1E-14</v>
      </c>
      <c r="CH52" s="58">
        <v>1E-13</v>
      </c>
      <c r="CI52" s="36"/>
      <c r="CJ52" s="38"/>
      <c r="CK52" s="37"/>
      <c r="CL52" s="38"/>
      <c r="CM52" s="36"/>
      <c r="CN52" s="38"/>
      <c r="CO52" s="37"/>
      <c r="CP52" s="38"/>
      <c r="CQ52" s="37"/>
      <c r="CR52" s="38"/>
      <c r="CS52" s="37"/>
      <c r="CT52" s="38"/>
      <c r="CU52" s="66">
        <v>1500</v>
      </c>
      <c r="CV52" s="61">
        <v>3000</v>
      </c>
      <c r="CW52" s="35"/>
      <c r="CX52" s="68">
        <v>28856</v>
      </c>
      <c r="CY52" s="37"/>
      <c r="CZ52" s="35"/>
      <c r="DA52" s="60">
        <v>3.1709800000000001</v>
      </c>
      <c r="DB52" s="112">
        <v>1000000000</v>
      </c>
      <c r="DC52" s="60"/>
      <c r="DD52" s="69"/>
      <c r="DE52" s="60"/>
      <c r="DF52" s="70"/>
      <c r="DG52" s="70"/>
      <c r="DH52" s="71"/>
      <c r="DI52" s="64"/>
      <c r="DJ52" s="35"/>
      <c r="DK52" s="61"/>
      <c r="DL52" s="61"/>
      <c r="DM52" s="72"/>
      <c r="DN52" s="64"/>
      <c r="DO52" s="72"/>
      <c r="DP52" s="64"/>
      <c r="DQ52" s="72"/>
      <c r="DR52" s="64"/>
      <c r="DS52" s="70">
        <v>6.6</v>
      </c>
      <c r="DT52" s="36" t="s">
        <v>581</v>
      </c>
      <c r="DU52" s="66"/>
      <c r="DV52" s="62">
        <v>10000</v>
      </c>
      <c r="DW52" s="62"/>
      <c r="DX52" s="73">
        <v>29143</v>
      </c>
      <c r="DY52" s="114"/>
      <c r="DZ52" s="140" t="s">
        <v>735</v>
      </c>
      <c r="EA52" s="244" t="s">
        <v>736</v>
      </c>
    </row>
    <row r="53" spans="1:131" x14ac:dyDescent="0.4">
      <c r="A53" s="4" t="s">
        <v>126</v>
      </c>
      <c r="B53" s="5" t="s">
        <v>129</v>
      </c>
      <c r="C53" s="8">
        <v>19.646003</v>
      </c>
      <c r="D53" s="8">
        <v>-97.437636999999995</v>
      </c>
      <c r="E53" s="7" t="s">
        <v>46</v>
      </c>
      <c r="F53" s="5" t="s">
        <v>92</v>
      </c>
      <c r="G53" s="7"/>
      <c r="H53" s="4" t="s">
        <v>130</v>
      </c>
      <c r="I53" s="52"/>
      <c r="J53" s="53"/>
      <c r="K53" s="36">
        <v>2540</v>
      </c>
      <c r="L53" s="38"/>
      <c r="M53" s="54"/>
      <c r="N53" s="55"/>
      <c r="O53" s="56"/>
      <c r="P53" s="36"/>
      <c r="Q53" s="36"/>
      <c r="R53" s="58"/>
      <c r="S53" s="54">
        <v>30</v>
      </c>
      <c r="T53" s="55"/>
      <c r="U53" s="102">
        <f>AVERAGE(S53,T53)</f>
        <v>30</v>
      </c>
      <c r="V53" s="55">
        <v>0.24</v>
      </c>
      <c r="W53" s="55"/>
      <c r="X53" s="56">
        <f>AVERAGE(V53,W53)</f>
        <v>0.24</v>
      </c>
      <c r="Y53" s="54">
        <f>S53/(3*(1-2*V53))</f>
        <v>19.23076923076923</v>
      </c>
      <c r="Z53" s="56"/>
      <c r="AA53" s="54">
        <f>S53/(2*(1+V53))</f>
        <v>12.096774193548388</v>
      </c>
      <c r="AB53" s="56"/>
      <c r="AC53" s="54"/>
      <c r="AD53" s="56"/>
      <c r="AE53" s="54"/>
      <c r="AF53" s="56"/>
      <c r="AG53" s="55"/>
      <c r="AH53" s="56"/>
      <c r="AI53" s="54"/>
      <c r="AJ53" s="56"/>
      <c r="AK53" s="55"/>
      <c r="AL53" s="56"/>
      <c r="AM53" s="54"/>
      <c r="AN53" s="56"/>
      <c r="AO53" s="59">
        <v>2.0999999999999999E-5</v>
      </c>
      <c r="AP53" s="60"/>
      <c r="AQ53" s="61"/>
      <c r="AR53" s="62"/>
      <c r="AS53" s="38" t="s">
        <v>577</v>
      </c>
      <c r="AT53" s="63"/>
      <c r="AU53" s="64"/>
      <c r="AV53" s="64"/>
      <c r="AW53" s="53"/>
      <c r="AX53" s="65"/>
      <c r="AY53" s="64"/>
      <c r="AZ53" s="64"/>
      <c r="BA53" s="53"/>
      <c r="BB53" s="63"/>
      <c r="BC53" s="64"/>
      <c r="BD53" s="64"/>
      <c r="BE53" s="53"/>
      <c r="BF53" s="36" t="s">
        <v>737</v>
      </c>
      <c r="BG53" s="38"/>
      <c r="BH53" s="63"/>
      <c r="BI53" s="64"/>
      <c r="BJ53" s="64"/>
      <c r="BK53" s="53"/>
      <c r="BL53" s="66">
        <v>300</v>
      </c>
      <c r="BM53" s="62">
        <v>330</v>
      </c>
      <c r="BN53" s="37"/>
      <c r="BO53" s="38"/>
      <c r="BP53" s="36"/>
      <c r="BQ53" s="38"/>
      <c r="BR53" s="37"/>
      <c r="BS53" s="38"/>
      <c r="BT53" s="35"/>
      <c r="BU53" s="38"/>
      <c r="BV53" s="66"/>
      <c r="BW53" s="62"/>
      <c r="BX53" s="66"/>
      <c r="BY53" s="62"/>
      <c r="BZ53" s="67"/>
      <c r="CA53" s="61"/>
      <c r="CB53" s="62"/>
      <c r="CC53" s="37"/>
      <c r="CD53" s="38"/>
      <c r="CE53" s="64"/>
      <c r="CF53" s="53"/>
      <c r="CG53" s="37"/>
      <c r="CH53" s="38"/>
      <c r="CI53" s="36"/>
      <c r="CJ53" s="38"/>
      <c r="CK53" s="37"/>
      <c r="CL53" s="38"/>
      <c r="CM53" s="36"/>
      <c r="CN53" s="38"/>
      <c r="CO53" s="37"/>
      <c r="CP53" s="38"/>
      <c r="CQ53" s="37"/>
      <c r="CR53" s="38"/>
      <c r="CS53" s="37"/>
      <c r="CT53" s="38"/>
      <c r="CU53" s="61">
        <v>1450</v>
      </c>
      <c r="CV53" s="62">
        <v>3250</v>
      </c>
      <c r="CW53" s="35"/>
      <c r="CX53" s="68">
        <v>32874</v>
      </c>
      <c r="CY53" s="37"/>
      <c r="CZ53" s="35"/>
      <c r="DA53" s="60">
        <v>3.6700000000000003E-2</v>
      </c>
      <c r="DB53" s="69"/>
      <c r="DC53" s="60"/>
      <c r="DD53" s="69"/>
      <c r="DE53" s="60"/>
      <c r="DF53" s="70"/>
      <c r="DG53" s="70"/>
      <c r="DH53" s="71"/>
      <c r="DI53" s="64"/>
      <c r="DJ53" s="35"/>
      <c r="DK53" s="61">
        <v>850</v>
      </c>
      <c r="DL53" s="61">
        <v>5000</v>
      </c>
      <c r="DM53" s="72"/>
      <c r="DN53" s="64"/>
      <c r="DO53" s="72"/>
      <c r="DP53" s="64"/>
      <c r="DQ53" s="72"/>
      <c r="DR53" s="64"/>
      <c r="DS53" s="70">
        <v>4.5999999999999996</v>
      </c>
      <c r="DT53" s="36" t="s">
        <v>738</v>
      </c>
      <c r="DU53" s="66"/>
      <c r="DV53" s="62"/>
      <c r="DW53" s="62"/>
      <c r="DX53" s="73">
        <v>34663</v>
      </c>
      <c r="DY53" s="4"/>
      <c r="DZ53" s="74" t="s">
        <v>739</v>
      </c>
      <c r="EA53" s="241" t="s">
        <v>740</v>
      </c>
    </row>
    <row r="54" spans="1:131" x14ac:dyDescent="0.4">
      <c r="A54" s="4" t="s">
        <v>131</v>
      </c>
      <c r="B54" s="5" t="s">
        <v>132</v>
      </c>
      <c r="C54" s="8">
        <v>-38.531536000000003</v>
      </c>
      <c r="D54" s="8">
        <v>175.92810900000001</v>
      </c>
      <c r="E54" s="7" t="s">
        <v>46</v>
      </c>
      <c r="F54" s="5" t="s">
        <v>100</v>
      </c>
      <c r="G54" s="7"/>
      <c r="H54" s="4"/>
      <c r="I54" s="52"/>
      <c r="J54" s="53"/>
      <c r="K54" s="36"/>
      <c r="L54" s="38"/>
      <c r="M54" s="54"/>
      <c r="N54" s="55"/>
      <c r="O54" s="56"/>
      <c r="P54" s="36"/>
      <c r="Q54" s="36"/>
      <c r="R54" s="58"/>
      <c r="S54" s="54"/>
      <c r="T54" s="55"/>
      <c r="U54" s="56"/>
      <c r="V54" s="55"/>
      <c r="W54" s="55"/>
      <c r="X54" s="56"/>
      <c r="Y54" s="54"/>
      <c r="Z54" s="56"/>
      <c r="AA54" s="54"/>
      <c r="AB54" s="56"/>
      <c r="AC54" s="54"/>
      <c r="AD54" s="56"/>
      <c r="AE54" s="54"/>
      <c r="AF54" s="56"/>
      <c r="AG54" s="55"/>
      <c r="AH54" s="56"/>
      <c r="AI54" s="54"/>
      <c r="AJ54" s="56"/>
      <c r="AK54" s="55"/>
      <c r="AL54" s="56"/>
      <c r="AM54" s="54"/>
      <c r="AN54" s="56"/>
      <c r="AO54" s="59"/>
      <c r="AP54" s="60"/>
      <c r="AQ54" s="61"/>
      <c r="AR54" s="62"/>
      <c r="AS54" s="38"/>
      <c r="AT54" s="63"/>
      <c r="AU54" s="64"/>
      <c r="AV54" s="64"/>
      <c r="AW54" s="53"/>
      <c r="AX54" s="65"/>
      <c r="AY54" s="64"/>
      <c r="AZ54" s="64"/>
      <c r="BA54" s="53"/>
      <c r="BB54" s="63"/>
      <c r="BC54" s="64"/>
      <c r="BD54" s="64"/>
      <c r="BE54" s="53"/>
      <c r="BF54" s="36"/>
      <c r="BG54" s="38"/>
      <c r="BH54" s="63"/>
      <c r="BI54" s="64"/>
      <c r="BJ54" s="64"/>
      <c r="BK54" s="53"/>
      <c r="BL54" s="66">
        <v>326</v>
      </c>
      <c r="BM54" s="62"/>
      <c r="BN54" s="37"/>
      <c r="BO54" s="38"/>
      <c r="BP54" s="36"/>
      <c r="BQ54" s="38"/>
      <c r="BR54" s="37"/>
      <c r="BS54" s="38"/>
      <c r="BT54" s="35"/>
      <c r="BU54" s="38"/>
      <c r="BV54" s="66"/>
      <c r="BW54" s="62"/>
      <c r="BX54" s="66"/>
      <c r="BY54" s="62"/>
      <c r="BZ54" s="67"/>
      <c r="CA54" s="61"/>
      <c r="CB54" s="62"/>
      <c r="CC54" s="37"/>
      <c r="CD54" s="38"/>
      <c r="CE54" s="64"/>
      <c r="CF54" s="53"/>
      <c r="CG54" s="37"/>
      <c r="CH54" s="38"/>
      <c r="CI54" s="36"/>
      <c r="CJ54" s="38"/>
      <c r="CK54" s="37"/>
      <c r="CL54" s="38"/>
      <c r="CM54" s="36"/>
      <c r="CN54" s="38"/>
      <c r="CO54" s="37"/>
      <c r="CP54" s="38"/>
      <c r="CQ54" s="37"/>
      <c r="CR54" s="38"/>
      <c r="CS54" s="37"/>
      <c r="CT54" s="38"/>
      <c r="CU54" s="66"/>
      <c r="CV54" s="61">
        <v>3000</v>
      </c>
      <c r="CW54" s="35"/>
      <c r="CX54" s="68">
        <v>36526</v>
      </c>
      <c r="CY54" s="37"/>
      <c r="CZ54" s="35">
        <v>226</v>
      </c>
      <c r="DA54" s="60"/>
      <c r="DB54" s="69"/>
      <c r="DC54" s="60"/>
      <c r="DD54" s="69"/>
      <c r="DE54" s="60"/>
      <c r="DF54" s="70"/>
      <c r="DG54" s="70"/>
      <c r="DH54" s="71"/>
      <c r="DI54" s="64"/>
      <c r="DJ54" s="35"/>
      <c r="DK54" s="61"/>
      <c r="DL54" s="61"/>
      <c r="DM54" s="72"/>
      <c r="DN54" s="64"/>
      <c r="DO54" s="72"/>
      <c r="DP54" s="64"/>
      <c r="DQ54" s="72"/>
      <c r="DR54" s="64"/>
      <c r="DS54" s="70">
        <v>3.2</v>
      </c>
      <c r="DT54" s="36"/>
      <c r="DU54" s="66"/>
      <c r="DV54" s="62"/>
      <c r="DW54" s="62"/>
      <c r="DX54" s="73"/>
      <c r="DY54" s="114"/>
      <c r="DZ54" s="74"/>
      <c r="EA54" s="241" t="s">
        <v>741</v>
      </c>
    </row>
    <row r="55" spans="1:131" x14ac:dyDescent="0.4">
      <c r="A55" s="22" t="s">
        <v>131</v>
      </c>
      <c r="B55" s="4" t="s">
        <v>133</v>
      </c>
      <c r="C55" s="8">
        <v>-38.546191</v>
      </c>
      <c r="D55" s="9">
        <v>176.195257</v>
      </c>
      <c r="E55" s="7" t="s">
        <v>46</v>
      </c>
      <c r="F55" s="5" t="s">
        <v>100</v>
      </c>
      <c r="G55" s="7" t="s">
        <v>134</v>
      </c>
      <c r="H55" s="4" t="s">
        <v>135</v>
      </c>
      <c r="I55" s="52"/>
      <c r="J55" s="53"/>
      <c r="K55" s="36">
        <v>2070</v>
      </c>
      <c r="L55" s="38">
        <v>2670</v>
      </c>
      <c r="M55" s="54">
        <v>2.5000000000000001E-2</v>
      </c>
      <c r="N55" s="55">
        <v>0.20300000000000001</v>
      </c>
      <c r="O55" s="56">
        <f>AVERAGE(M55,N55)</f>
        <v>0.114</v>
      </c>
      <c r="P55" s="59">
        <v>3.6300000000000001E-19</v>
      </c>
      <c r="Q55" s="59">
        <v>2.43E-16</v>
      </c>
      <c r="R55" s="58">
        <f>AVERAGE(P55,Q55)</f>
        <v>1.2168150000000001E-16</v>
      </c>
      <c r="S55" s="54">
        <v>17.7</v>
      </c>
      <c r="T55" s="55">
        <v>44.3</v>
      </c>
      <c r="U55" s="102">
        <f>AVERAGE(S55,T55)</f>
        <v>31</v>
      </c>
      <c r="V55" s="55">
        <v>0.19</v>
      </c>
      <c r="W55" s="55">
        <v>0.31</v>
      </c>
      <c r="X55" s="56">
        <f>AVERAGE(V55,W55)</f>
        <v>0.25</v>
      </c>
      <c r="Y55" s="54">
        <f>S55/(3*(1-2*V55))</f>
        <v>9.5161290322580641</v>
      </c>
      <c r="Z55" s="56">
        <f>T55/(3*(1-2*W55))</f>
        <v>38.859649122807014</v>
      </c>
      <c r="AA55" s="54">
        <f>S55/(2*(1+V55))</f>
        <v>7.4369747899159666</v>
      </c>
      <c r="AB55" s="56">
        <f>T55/(2*(1+W55))</f>
        <v>16.908396946564885</v>
      </c>
      <c r="AC55" s="54"/>
      <c r="AD55" s="56"/>
      <c r="AE55" s="54"/>
      <c r="AF55" s="56"/>
      <c r="AG55" s="55"/>
      <c r="AH55" s="56"/>
      <c r="AI55" s="54">
        <v>70</v>
      </c>
      <c r="AJ55" s="56">
        <v>163.4</v>
      </c>
      <c r="AK55" s="55"/>
      <c r="AL55" s="56"/>
      <c r="AM55" s="54"/>
      <c r="AN55" s="56"/>
      <c r="AO55" s="59"/>
      <c r="AP55" s="60"/>
      <c r="AQ55" s="61"/>
      <c r="AR55" s="62"/>
      <c r="AS55" s="38"/>
      <c r="AT55" s="63"/>
      <c r="AU55" s="64"/>
      <c r="AV55" s="64"/>
      <c r="AW55" s="53"/>
      <c r="AX55" s="65"/>
      <c r="AY55" s="64"/>
      <c r="AZ55" s="64"/>
      <c r="BA55" s="53"/>
      <c r="BB55" s="63"/>
      <c r="BC55" s="64"/>
      <c r="BD55" s="64"/>
      <c r="BE55" s="53"/>
      <c r="BF55" s="36"/>
      <c r="BG55" s="38"/>
      <c r="BH55" s="63"/>
      <c r="BI55" s="64"/>
      <c r="BJ55" s="64"/>
      <c r="BK55" s="53"/>
      <c r="BL55" s="66">
        <v>280</v>
      </c>
      <c r="BM55" s="62"/>
      <c r="BN55" s="37"/>
      <c r="BO55" s="38"/>
      <c r="BP55" s="36"/>
      <c r="BQ55" s="38"/>
      <c r="BR55" s="37"/>
      <c r="BS55" s="38"/>
      <c r="BT55" s="35"/>
      <c r="BU55" s="38"/>
      <c r="BV55" s="66"/>
      <c r="BW55" s="62"/>
      <c r="BX55" s="66"/>
      <c r="BY55" s="62"/>
      <c r="BZ55" s="67"/>
      <c r="CA55" s="61"/>
      <c r="CB55" s="62"/>
      <c r="CC55" s="37"/>
      <c r="CD55" s="38"/>
      <c r="CE55" s="64"/>
      <c r="CF55" s="53"/>
      <c r="CG55" s="37"/>
      <c r="CH55" s="38"/>
      <c r="CI55" s="36"/>
      <c r="CJ55" s="38"/>
      <c r="CK55" s="37"/>
      <c r="CL55" s="38"/>
      <c r="CM55" s="36"/>
      <c r="CN55" s="38"/>
      <c r="CO55" s="37"/>
      <c r="CP55" s="38"/>
      <c r="CQ55" s="37"/>
      <c r="CR55" s="38"/>
      <c r="CS55" s="37"/>
      <c r="CT55" s="38"/>
      <c r="CU55" s="66"/>
      <c r="CV55" s="61">
        <v>2400</v>
      </c>
      <c r="CW55" s="35"/>
      <c r="CX55" s="68">
        <v>39173</v>
      </c>
      <c r="CY55" s="37"/>
      <c r="CZ55" s="35"/>
      <c r="DA55" s="60"/>
      <c r="DB55" s="69"/>
      <c r="DC55" s="60"/>
      <c r="DD55" s="69"/>
      <c r="DE55" s="60"/>
      <c r="DF55" s="70"/>
      <c r="DG55" s="70"/>
      <c r="DH55" s="71"/>
      <c r="DI55" s="64"/>
      <c r="DJ55" s="35"/>
      <c r="DK55" s="61"/>
      <c r="DL55" s="61"/>
      <c r="DM55" s="72"/>
      <c r="DN55" s="64"/>
      <c r="DO55" s="72"/>
      <c r="DP55" s="64"/>
      <c r="DQ55" s="72"/>
      <c r="DR55" s="64"/>
      <c r="DS55" s="70">
        <v>2.7</v>
      </c>
      <c r="DT55" s="36"/>
      <c r="DU55" s="66"/>
      <c r="DV55" s="62"/>
      <c r="DW55" s="62"/>
      <c r="DX55" s="73"/>
      <c r="DY55" s="114"/>
      <c r="DZ55" s="74"/>
      <c r="EA55" s="241" t="s">
        <v>742</v>
      </c>
    </row>
    <row r="56" spans="1:131" ht="23.15" x14ac:dyDescent="0.4">
      <c r="A56" s="4" t="s">
        <v>131</v>
      </c>
      <c r="B56" s="17" t="s">
        <v>136</v>
      </c>
      <c r="C56" s="8">
        <v>-38.613816</v>
      </c>
      <c r="D56" s="8">
        <v>176.18411599999999</v>
      </c>
      <c r="E56" s="7" t="s">
        <v>46</v>
      </c>
      <c r="F56" s="5" t="s">
        <v>100</v>
      </c>
      <c r="G56" s="7"/>
      <c r="H56" s="4" t="s">
        <v>137</v>
      </c>
      <c r="I56" s="144"/>
      <c r="J56" s="130"/>
      <c r="K56" s="36">
        <v>2330</v>
      </c>
      <c r="L56" s="38">
        <v>2560</v>
      </c>
      <c r="M56" s="54">
        <v>5.2999999999999999E-2</v>
      </c>
      <c r="N56" s="55">
        <v>0.20399999999999999</v>
      </c>
      <c r="O56" s="56">
        <f>AVERAGE(M56,N56)</f>
        <v>0.1285</v>
      </c>
      <c r="P56" s="59">
        <v>9.8000000000000002E-18</v>
      </c>
      <c r="Q56" s="59">
        <v>1.6600000000000001E-16</v>
      </c>
      <c r="R56" s="58">
        <f>AVERAGE(P56,Q56)</f>
        <v>8.7900000000000008E-17</v>
      </c>
      <c r="S56" s="54">
        <v>19.899999999999999</v>
      </c>
      <c r="T56" s="55">
        <v>43.7</v>
      </c>
      <c r="U56" s="102">
        <v>30.6</v>
      </c>
      <c r="V56" s="55">
        <v>0.09</v>
      </c>
      <c r="W56" s="55">
        <v>0.34</v>
      </c>
      <c r="X56" s="56">
        <v>0.2</v>
      </c>
      <c r="Y56" s="54">
        <f>S56/(3*(1-2*V56))</f>
        <v>8.0894308943089435</v>
      </c>
      <c r="Z56" s="56">
        <f>T56/(3*(1-2*W56))</f>
        <v>45.520833333333343</v>
      </c>
      <c r="AA56" s="54">
        <f>S56/(2*(1+V56))</f>
        <v>9.128440366972475</v>
      </c>
      <c r="AB56" s="56">
        <f>T56/(2*(1+W56))</f>
        <v>16.305970149253731</v>
      </c>
      <c r="AC56" s="54"/>
      <c r="AD56" s="56"/>
      <c r="AE56" s="54"/>
      <c r="AF56" s="56"/>
      <c r="AG56" s="55"/>
      <c r="AH56" s="56"/>
      <c r="AI56" s="54"/>
      <c r="AJ56" s="56">
        <v>211</v>
      </c>
      <c r="AK56" s="55">
        <v>9.9</v>
      </c>
      <c r="AL56" s="56">
        <v>24.1</v>
      </c>
      <c r="AM56" s="54"/>
      <c r="AN56" s="56"/>
      <c r="AO56" s="59">
        <v>4.8400000000000002E-6</v>
      </c>
      <c r="AP56" s="60">
        <v>1.4100000000000001E-5</v>
      </c>
      <c r="AQ56" s="61">
        <v>2500</v>
      </c>
      <c r="AR56" s="62"/>
      <c r="AS56" s="38" t="s">
        <v>743</v>
      </c>
      <c r="AT56" s="63">
        <v>2.2259999999999999E-2</v>
      </c>
      <c r="AU56" s="64">
        <v>0</v>
      </c>
      <c r="AV56" s="64">
        <f>PRODUCT(AT56,CU56)</f>
        <v>22.259999999999998</v>
      </c>
      <c r="AW56" s="53">
        <f>PRODUCT(AT56,CV56)</f>
        <v>55.65</v>
      </c>
      <c r="AX56" s="65"/>
      <c r="AY56" s="64"/>
      <c r="AZ56" s="64"/>
      <c r="BA56" s="53"/>
      <c r="BB56" s="63">
        <v>1.3440000000000001E-2</v>
      </c>
      <c r="BC56" s="64">
        <v>0</v>
      </c>
      <c r="BD56" s="64">
        <f>PRODUCT(BB56,CU56)</f>
        <v>13.440000000000001</v>
      </c>
      <c r="BE56" s="53">
        <f>PRODUCT(BB56,CV56)</f>
        <v>33.6</v>
      </c>
      <c r="BF56" s="36" t="s">
        <v>744</v>
      </c>
      <c r="BG56" s="38" t="s">
        <v>745</v>
      </c>
      <c r="BH56" s="63">
        <v>8.8000000000000005E-3</v>
      </c>
      <c r="BI56" s="64">
        <v>0</v>
      </c>
      <c r="BJ56" s="64">
        <f>PRODUCT(BH56,CU56)</f>
        <v>8.8000000000000007</v>
      </c>
      <c r="BK56" s="53">
        <f>PRODUCT(BH56,CV56)</f>
        <v>22</v>
      </c>
      <c r="BL56" s="66">
        <v>225</v>
      </c>
      <c r="BM56" s="62">
        <v>350</v>
      </c>
      <c r="BN56" s="37"/>
      <c r="BO56" s="38"/>
      <c r="BP56" s="36"/>
      <c r="BQ56" s="38"/>
      <c r="BR56" s="37"/>
      <c r="BS56" s="38"/>
      <c r="BT56" s="35"/>
      <c r="BU56" s="38"/>
      <c r="BV56" s="66"/>
      <c r="BW56" s="62"/>
      <c r="BX56" s="66"/>
      <c r="BY56" s="62"/>
      <c r="BZ56" s="67"/>
      <c r="CA56" s="61"/>
      <c r="CB56" s="62"/>
      <c r="CC56" s="37"/>
      <c r="CD56" s="38"/>
      <c r="CE56" s="64"/>
      <c r="CF56" s="53"/>
      <c r="CG56" s="37"/>
      <c r="CH56" s="38"/>
      <c r="CI56" s="36"/>
      <c r="CJ56" s="38"/>
      <c r="CK56" s="37"/>
      <c r="CL56" s="38"/>
      <c r="CM56" s="36"/>
      <c r="CN56" s="38"/>
      <c r="CO56" s="37"/>
      <c r="CP56" s="38"/>
      <c r="CQ56" s="37"/>
      <c r="CR56" s="38"/>
      <c r="CS56" s="37"/>
      <c r="CT56" s="38"/>
      <c r="CU56" s="66">
        <v>1000</v>
      </c>
      <c r="CV56" s="61">
        <v>2500</v>
      </c>
      <c r="CW56" s="35"/>
      <c r="CX56" s="132">
        <v>39448</v>
      </c>
      <c r="CY56" s="37"/>
      <c r="CZ56" s="35">
        <v>130</v>
      </c>
      <c r="DA56" s="60">
        <v>0.55000000000000004</v>
      </c>
      <c r="DB56" s="69"/>
      <c r="DC56" s="60"/>
      <c r="DD56" s="69">
        <v>0</v>
      </c>
      <c r="DE56" s="60"/>
      <c r="DF56" s="70">
        <v>1</v>
      </c>
      <c r="DG56" s="70"/>
      <c r="DH56" s="71">
        <v>38353</v>
      </c>
      <c r="DI56" s="64"/>
      <c r="DJ56" s="35" t="s">
        <v>746</v>
      </c>
      <c r="DK56" s="61">
        <v>1500</v>
      </c>
      <c r="DL56" s="61">
        <v>3000</v>
      </c>
      <c r="DM56" s="72"/>
      <c r="DN56" s="64"/>
      <c r="DO56" s="72"/>
      <c r="DP56" s="64"/>
      <c r="DQ56" s="72"/>
      <c r="DR56" s="64"/>
      <c r="DS56" s="70">
        <v>3.3</v>
      </c>
      <c r="DT56" s="36"/>
      <c r="DU56" s="66"/>
      <c r="DV56" s="62"/>
      <c r="DW56" s="62"/>
      <c r="DX56" s="73">
        <v>40940</v>
      </c>
      <c r="DY56" s="114"/>
      <c r="DZ56" s="74" t="s">
        <v>747</v>
      </c>
      <c r="EA56" s="241" t="s">
        <v>748</v>
      </c>
    </row>
    <row r="57" spans="1:131" x14ac:dyDescent="0.4">
      <c r="A57" s="16" t="s">
        <v>138</v>
      </c>
      <c r="B57" s="4" t="s">
        <v>139</v>
      </c>
      <c r="C57" s="8">
        <v>36.106155000000001</v>
      </c>
      <c r="D57" s="8">
        <v>129.37791200000001</v>
      </c>
      <c r="E57" s="7" t="s">
        <v>46</v>
      </c>
      <c r="F57" s="7" t="s">
        <v>47</v>
      </c>
      <c r="G57" s="7"/>
      <c r="H57" s="23"/>
      <c r="I57" s="52"/>
      <c r="J57" s="53"/>
      <c r="K57" s="36"/>
      <c r="L57" s="38"/>
      <c r="M57" s="55"/>
      <c r="N57" s="55"/>
      <c r="O57" s="56"/>
      <c r="P57" s="36"/>
      <c r="Q57" s="36"/>
      <c r="R57" s="38"/>
      <c r="S57" s="55"/>
      <c r="T57" s="55"/>
      <c r="U57" s="56"/>
      <c r="V57" s="55"/>
      <c r="W57" s="55"/>
      <c r="X57" s="56"/>
      <c r="Y57" s="55"/>
      <c r="Z57" s="56"/>
      <c r="AA57" s="55"/>
      <c r="AB57" s="56"/>
      <c r="AC57" s="55"/>
      <c r="AD57" s="56"/>
      <c r="AE57" s="55"/>
      <c r="AF57" s="56"/>
      <c r="AG57" s="55"/>
      <c r="AH57" s="56"/>
      <c r="AI57" s="55"/>
      <c r="AJ57" s="56"/>
      <c r="AK57" s="55"/>
      <c r="AL57" s="56"/>
      <c r="AM57" s="55"/>
      <c r="AN57" s="56"/>
      <c r="AO57" s="59"/>
      <c r="AP57" s="60"/>
      <c r="AQ57" s="61"/>
      <c r="AR57" s="62"/>
      <c r="AS57" s="38"/>
      <c r="AT57" s="63"/>
      <c r="AU57" s="64"/>
      <c r="AV57" s="64"/>
      <c r="AW57" s="53"/>
      <c r="AX57" s="63"/>
      <c r="AY57" s="64"/>
      <c r="AZ57" s="64"/>
      <c r="BA57" s="53"/>
      <c r="BB57" s="63"/>
      <c r="BC57" s="64"/>
      <c r="BD57" s="64"/>
      <c r="BE57" s="53"/>
      <c r="BF57" s="36"/>
      <c r="BG57" s="38"/>
      <c r="BH57" s="63"/>
      <c r="BI57" s="64"/>
      <c r="BJ57" s="64"/>
      <c r="BK57" s="53"/>
      <c r="BL57" s="61"/>
      <c r="BM57" s="62"/>
      <c r="BN57" s="36"/>
      <c r="BO57" s="38"/>
      <c r="BP57" s="36"/>
      <c r="BQ57" s="38"/>
      <c r="BR57" s="36"/>
      <c r="BS57" s="38"/>
      <c r="BT57" s="38"/>
      <c r="BU57" s="38"/>
      <c r="BV57" s="61"/>
      <c r="BW57" s="62"/>
      <c r="BX57" s="61"/>
      <c r="BY57" s="62"/>
      <c r="BZ57" s="62"/>
      <c r="CA57" s="61"/>
      <c r="CB57" s="62"/>
      <c r="CC57" s="36"/>
      <c r="CD57" s="38"/>
      <c r="CE57" s="64"/>
      <c r="CF57" s="53"/>
      <c r="CG57" s="36"/>
      <c r="CH57" s="38"/>
      <c r="CI57" s="36"/>
      <c r="CJ57" s="38"/>
      <c r="CK57" s="36"/>
      <c r="CL57" s="38"/>
      <c r="CM57" s="36"/>
      <c r="CN57" s="38"/>
      <c r="CO57" s="36"/>
      <c r="CP57" s="38"/>
      <c r="CQ57" s="36"/>
      <c r="CR57" s="38"/>
      <c r="CS57" s="36"/>
      <c r="CT57" s="38"/>
      <c r="CU57" s="66"/>
      <c r="CV57" s="62"/>
      <c r="CW57" s="38"/>
      <c r="CX57" s="145">
        <v>42719</v>
      </c>
      <c r="CY57" s="38"/>
      <c r="CZ57" s="38"/>
      <c r="DA57" s="60"/>
      <c r="DB57" s="59"/>
      <c r="DC57" s="60"/>
      <c r="DD57" s="59"/>
      <c r="DE57" s="60"/>
      <c r="DF57" s="53"/>
      <c r="DG57" s="53"/>
      <c r="DH57" s="146"/>
      <c r="DI57" s="53"/>
      <c r="DJ57" s="38"/>
      <c r="DK57" s="61"/>
      <c r="DL57" s="61"/>
      <c r="DM57" s="72"/>
      <c r="DN57" s="64"/>
      <c r="DO57" s="72"/>
      <c r="DP57" s="64"/>
      <c r="DQ57" s="72"/>
      <c r="DR57" s="53"/>
      <c r="DS57" s="70">
        <v>2.2999999999999998</v>
      </c>
      <c r="DT57" s="147" t="s">
        <v>581</v>
      </c>
      <c r="DU57" s="61"/>
      <c r="DV57" s="62"/>
      <c r="DW57" s="62"/>
      <c r="DX57" s="113"/>
      <c r="DY57" s="114"/>
      <c r="DZ57" s="74"/>
      <c r="EA57" s="241" t="s">
        <v>749</v>
      </c>
    </row>
    <row r="58" spans="1:131" x14ac:dyDescent="0.4">
      <c r="A58" s="16" t="s">
        <v>138</v>
      </c>
      <c r="B58" s="21" t="s">
        <v>140</v>
      </c>
      <c r="C58" s="8">
        <v>36.106727999999997</v>
      </c>
      <c r="D58" s="8">
        <v>129.37826200000001</v>
      </c>
      <c r="E58" s="7" t="s">
        <v>46</v>
      </c>
      <c r="F58" s="7" t="s">
        <v>141</v>
      </c>
      <c r="G58" s="7"/>
      <c r="H58" s="23" t="s">
        <v>142</v>
      </c>
      <c r="I58" s="52"/>
      <c r="J58" s="53"/>
      <c r="K58" s="36"/>
      <c r="L58" s="38">
        <v>2630</v>
      </c>
      <c r="M58" s="55"/>
      <c r="N58" s="55">
        <v>5.0000000000000001E-3</v>
      </c>
      <c r="O58" s="56">
        <v>5.0000000000000001E-3</v>
      </c>
      <c r="P58" s="59">
        <v>9.9999999999999998E-17</v>
      </c>
      <c r="Q58" s="59">
        <v>6.8000000000000001E-16</v>
      </c>
      <c r="R58" s="60">
        <f>AVERAGE(Q58,P58)</f>
        <v>3.9000000000000003E-16</v>
      </c>
      <c r="S58" s="55"/>
      <c r="T58" s="55">
        <v>33.5</v>
      </c>
      <c r="U58" s="56">
        <v>33.5</v>
      </c>
      <c r="V58" s="55"/>
      <c r="W58" s="55">
        <v>0.21</v>
      </c>
      <c r="X58" s="56">
        <v>0.21</v>
      </c>
      <c r="Y58" s="55"/>
      <c r="Z58" s="56">
        <f>T58/(3*(1-2*W58))</f>
        <v>19.252873563218387</v>
      </c>
      <c r="AA58" s="55"/>
      <c r="AB58" s="56">
        <f>T58/(2*(1+W58))</f>
        <v>13.842975206611571</v>
      </c>
      <c r="AC58" s="55"/>
      <c r="AD58" s="56"/>
      <c r="AE58" s="55"/>
      <c r="AF58" s="56">
        <v>60.2</v>
      </c>
      <c r="AG58" s="55"/>
      <c r="AH58" s="56">
        <v>15.2</v>
      </c>
      <c r="AI58" s="55"/>
      <c r="AJ58" s="56">
        <v>106.7</v>
      </c>
      <c r="AK58" s="55"/>
      <c r="AL58" s="56">
        <v>9.1999999999999993</v>
      </c>
      <c r="AM58" s="55"/>
      <c r="AN58" s="56">
        <v>3</v>
      </c>
      <c r="AO58" s="59"/>
      <c r="AP58" s="60">
        <v>1.7E-15</v>
      </c>
      <c r="AQ58" s="61"/>
      <c r="AR58" s="62"/>
      <c r="AS58" s="38" t="s">
        <v>577</v>
      </c>
      <c r="AT58" s="63"/>
      <c r="AU58" s="64"/>
      <c r="AV58" s="64">
        <v>106</v>
      </c>
      <c r="AW58" s="53">
        <v>110</v>
      </c>
      <c r="AX58" s="63">
        <v>9.1999999999999993</v>
      </c>
      <c r="AY58" s="64">
        <v>10.199999999999999</v>
      </c>
      <c r="AZ58" s="64"/>
      <c r="BA58" s="53">
        <v>143</v>
      </c>
      <c r="BB58" s="63"/>
      <c r="BC58" s="64"/>
      <c r="BD58" s="64">
        <v>88</v>
      </c>
      <c r="BE58" s="53">
        <v>120</v>
      </c>
      <c r="BF58" s="36"/>
      <c r="BG58" s="38" t="s">
        <v>750</v>
      </c>
      <c r="BH58" s="63"/>
      <c r="BI58" s="64"/>
      <c r="BJ58" s="64"/>
      <c r="BK58" s="53"/>
      <c r="BL58" s="61"/>
      <c r="BM58" s="62">
        <v>140</v>
      </c>
      <c r="BN58" s="36"/>
      <c r="BO58" s="38" t="s">
        <v>751</v>
      </c>
      <c r="BP58" s="36"/>
      <c r="BQ58" s="38"/>
      <c r="BR58" s="36"/>
      <c r="BS58" s="38"/>
      <c r="BT58" s="38" t="s">
        <v>752</v>
      </c>
      <c r="BU58" s="38" t="s">
        <v>577</v>
      </c>
      <c r="BV58" s="61"/>
      <c r="BW58" s="62"/>
      <c r="BX58" s="61"/>
      <c r="BY58" s="62"/>
      <c r="BZ58" s="62">
        <v>1000</v>
      </c>
      <c r="CA58" s="61"/>
      <c r="CB58" s="62"/>
      <c r="CC58" s="36"/>
      <c r="CD58" s="38"/>
      <c r="CE58" s="64"/>
      <c r="CF58" s="53"/>
      <c r="CG58" s="36"/>
      <c r="CH58" s="38"/>
      <c r="CI58" s="36">
        <v>7.9</v>
      </c>
      <c r="CJ58" s="38">
        <v>23.4</v>
      </c>
      <c r="CK58" s="36">
        <v>3.2</v>
      </c>
      <c r="CL58" s="38"/>
      <c r="CM58" s="36"/>
      <c r="CN58" s="38"/>
      <c r="CO58" s="36"/>
      <c r="CP58" s="38"/>
      <c r="CQ58" s="36"/>
      <c r="CR58" s="38"/>
      <c r="CS58" s="36">
        <v>26.6</v>
      </c>
      <c r="CT58" s="38"/>
      <c r="CU58" s="66">
        <v>4300</v>
      </c>
      <c r="CV58" s="62">
        <v>4300</v>
      </c>
      <c r="CW58" s="38" t="s">
        <v>266</v>
      </c>
      <c r="CX58" s="145">
        <v>42398</v>
      </c>
      <c r="CY58" s="38"/>
      <c r="CZ58" s="38"/>
      <c r="DA58" s="60">
        <v>4.6829999999999997E-2</v>
      </c>
      <c r="DB58" s="59">
        <v>12800</v>
      </c>
      <c r="DC58" s="60"/>
      <c r="DD58" s="59">
        <v>5841</v>
      </c>
      <c r="DE58" s="60">
        <v>6493</v>
      </c>
      <c r="DF58" s="53">
        <v>89.2</v>
      </c>
      <c r="DG58" s="53">
        <v>131.80000000000001</v>
      </c>
      <c r="DH58" s="146"/>
      <c r="DI58" s="53"/>
      <c r="DJ58" s="38" t="s">
        <v>753</v>
      </c>
      <c r="DK58" s="61">
        <v>3700</v>
      </c>
      <c r="DL58" s="61">
        <v>6000</v>
      </c>
      <c r="DM58" s="72"/>
      <c r="DN58" s="64"/>
      <c r="DO58" s="72">
        <v>2.08</v>
      </c>
      <c r="DP58" s="64">
        <v>0.66</v>
      </c>
      <c r="DQ58" s="72"/>
      <c r="DR58" s="53"/>
      <c r="DS58" s="70">
        <v>5.4</v>
      </c>
      <c r="DT58" s="147" t="s">
        <v>541</v>
      </c>
      <c r="DU58" s="61">
        <v>4500</v>
      </c>
      <c r="DV58" s="62">
        <v>4500</v>
      </c>
      <c r="DW58" s="62">
        <v>670</v>
      </c>
      <c r="DX58" s="113">
        <v>43054</v>
      </c>
      <c r="DY58" s="36" t="s">
        <v>754</v>
      </c>
      <c r="DZ58" s="39"/>
      <c r="EA58" s="245" t="s">
        <v>749</v>
      </c>
    </row>
    <row r="59" spans="1:131" x14ac:dyDescent="0.4">
      <c r="A59" s="16" t="s">
        <v>143</v>
      </c>
      <c r="B59" s="4" t="s">
        <v>144</v>
      </c>
      <c r="C59" s="8">
        <v>58.599809</v>
      </c>
      <c r="D59" s="8">
        <v>11.288306</v>
      </c>
      <c r="E59" s="7" t="s">
        <v>46</v>
      </c>
      <c r="F59" s="7" t="s">
        <v>47</v>
      </c>
      <c r="G59" s="7" t="s">
        <v>145</v>
      </c>
      <c r="H59" s="16" t="s">
        <v>49</v>
      </c>
      <c r="I59" s="52"/>
      <c r="J59" s="53"/>
      <c r="K59" s="36">
        <v>2640</v>
      </c>
      <c r="L59" s="38"/>
      <c r="M59" s="55">
        <v>5.0000000000000001E-3</v>
      </c>
      <c r="N59" s="55"/>
      <c r="O59" s="56">
        <v>5.0000000000000001E-3</v>
      </c>
      <c r="P59" s="59">
        <v>1.0000000000000001E-17</v>
      </c>
      <c r="Q59" s="36"/>
      <c r="R59" s="60">
        <f>AVERAGE(P59,Q59)</f>
        <v>1.0000000000000001E-17</v>
      </c>
      <c r="S59" s="55">
        <v>50</v>
      </c>
      <c r="T59" s="55"/>
      <c r="U59" s="56">
        <f>AVERAGE(S59,T59)</f>
        <v>50</v>
      </c>
      <c r="V59" s="55">
        <v>0.15</v>
      </c>
      <c r="W59" s="55"/>
      <c r="X59" s="56">
        <f>AVERAGE(V59,W59)</f>
        <v>0.15</v>
      </c>
      <c r="Y59" s="54">
        <v>23.81</v>
      </c>
      <c r="Z59" s="56"/>
      <c r="AA59" s="54">
        <v>21.75</v>
      </c>
      <c r="AB59" s="56"/>
      <c r="AC59" s="55"/>
      <c r="AD59" s="56"/>
      <c r="AE59" s="55"/>
      <c r="AF59" s="56"/>
      <c r="AG59" s="55"/>
      <c r="AH59" s="56"/>
      <c r="AI59" s="55">
        <v>220</v>
      </c>
      <c r="AJ59" s="56"/>
      <c r="AK59" s="55">
        <v>8.3000000000000007</v>
      </c>
      <c r="AL59" s="56"/>
      <c r="AM59" s="55"/>
      <c r="AN59" s="56"/>
      <c r="AO59" s="59"/>
      <c r="AP59" s="60"/>
      <c r="AQ59" s="61"/>
      <c r="AR59" s="62"/>
      <c r="AS59" s="38" t="s">
        <v>577</v>
      </c>
      <c r="AT59" s="63">
        <v>2.5999999999999999E-2</v>
      </c>
      <c r="AU59" s="64">
        <v>0</v>
      </c>
      <c r="AV59" s="64">
        <f>PRODUCT(AT59,CU59)</f>
        <v>11.7</v>
      </c>
      <c r="AW59" s="53"/>
      <c r="AX59" s="63">
        <v>2.87E-2</v>
      </c>
      <c r="AY59" s="64">
        <v>7.1</v>
      </c>
      <c r="AZ59" s="64">
        <f>PRODUCT(AX59,CU59)+AY59</f>
        <v>20.015000000000001</v>
      </c>
      <c r="BA59" s="53"/>
      <c r="BB59" s="63">
        <v>1.83E-2</v>
      </c>
      <c r="BC59" s="64">
        <v>4.3</v>
      </c>
      <c r="BD59" s="64">
        <f>PRODUCT(BB59,CU59)+BC59</f>
        <v>12.535</v>
      </c>
      <c r="BE59" s="53"/>
      <c r="BF59" s="36" t="s">
        <v>755</v>
      </c>
      <c r="BG59" s="38"/>
      <c r="BH59" s="63"/>
      <c r="BI59" s="64"/>
      <c r="BJ59" s="64"/>
      <c r="BK59" s="53"/>
      <c r="BL59" s="61"/>
      <c r="BM59" s="62"/>
      <c r="BN59" s="36" t="s">
        <v>595</v>
      </c>
      <c r="BO59" s="38"/>
      <c r="BP59" s="36"/>
      <c r="BQ59" s="38"/>
      <c r="BR59" s="36"/>
      <c r="BS59" s="38"/>
      <c r="BT59" s="38"/>
      <c r="BU59" s="38"/>
      <c r="BV59" s="61"/>
      <c r="BW59" s="62"/>
      <c r="BX59" s="61"/>
      <c r="BY59" s="62"/>
      <c r="BZ59" s="62"/>
      <c r="CA59" s="61"/>
      <c r="CB59" s="62"/>
      <c r="CC59" s="36"/>
      <c r="CD59" s="38"/>
      <c r="CE59" s="64"/>
      <c r="CF59" s="53"/>
      <c r="CG59" s="36"/>
      <c r="CH59" s="38"/>
      <c r="CI59" s="36"/>
      <c r="CJ59" s="38"/>
      <c r="CK59" s="36"/>
      <c r="CL59" s="38"/>
      <c r="CM59" s="36"/>
      <c r="CN59" s="38"/>
      <c r="CO59" s="36"/>
      <c r="CP59" s="38"/>
      <c r="CQ59" s="36"/>
      <c r="CR59" s="38"/>
      <c r="CS59" s="36"/>
      <c r="CT59" s="38"/>
      <c r="CU59" s="61">
        <v>450</v>
      </c>
      <c r="CV59" s="62"/>
      <c r="CW59" s="38"/>
      <c r="CX59" s="145">
        <v>31717</v>
      </c>
      <c r="CY59" s="38" t="s">
        <v>756</v>
      </c>
      <c r="CZ59" s="38"/>
      <c r="DA59" s="60">
        <v>0.03</v>
      </c>
      <c r="DB59" s="59">
        <v>399</v>
      </c>
      <c r="DC59" s="60"/>
      <c r="DD59" s="59"/>
      <c r="DE59" s="60"/>
      <c r="DF59" s="53">
        <v>18</v>
      </c>
      <c r="DG59" s="53"/>
      <c r="DH59" s="146"/>
      <c r="DI59" s="53"/>
      <c r="DJ59" s="38" t="s">
        <v>757</v>
      </c>
      <c r="DK59" s="61">
        <v>440</v>
      </c>
      <c r="DL59" s="61">
        <v>475</v>
      </c>
      <c r="DM59" s="72"/>
      <c r="DN59" s="64"/>
      <c r="DO59" s="72"/>
      <c r="DP59" s="64"/>
      <c r="DQ59" s="72"/>
      <c r="DR59" s="53"/>
      <c r="DS59" s="53">
        <v>-0.2</v>
      </c>
      <c r="DT59" s="38" t="s">
        <v>581</v>
      </c>
      <c r="DU59" s="61"/>
      <c r="DV59" s="62"/>
      <c r="DW59" s="62"/>
      <c r="DX59" s="113">
        <v>32509</v>
      </c>
      <c r="DY59" s="114"/>
      <c r="DZ59" s="74"/>
      <c r="EA59" s="241" t="s">
        <v>758</v>
      </c>
    </row>
    <row r="60" spans="1:131" x14ac:dyDescent="0.4">
      <c r="A60" s="16" t="s">
        <v>146</v>
      </c>
      <c r="B60" s="16" t="s">
        <v>147</v>
      </c>
      <c r="C60" s="8">
        <v>47.585487999999998</v>
      </c>
      <c r="D60" s="9">
        <v>7.595567</v>
      </c>
      <c r="E60" s="7" t="s">
        <v>46</v>
      </c>
      <c r="F60" s="7" t="s">
        <v>47</v>
      </c>
      <c r="G60" s="7" t="s">
        <v>78</v>
      </c>
      <c r="H60" s="16" t="s">
        <v>49</v>
      </c>
      <c r="I60" s="52">
        <v>0.25</v>
      </c>
      <c r="J60" s="53">
        <v>0.95</v>
      </c>
      <c r="K60" s="36"/>
      <c r="L60" s="38"/>
      <c r="M60" s="55"/>
      <c r="N60" s="55">
        <v>0.1</v>
      </c>
      <c r="O60" s="56">
        <f>AVERAGE(M60,N60)</f>
        <v>0.1</v>
      </c>
      <c r="P60" s="59">
        <v>1.0000000000000001E-17</v>
      </c>
      <c r="Q60" s="59">
        <v>1.0000000000000001E-15</v>
      </c>
      <c r="R60" s="60">
        <f>AVERAGE(P60,Q60)</f>
        <v>5.0500000000000002E-16</v>
      </c>
      <c r="S60" s="55">
        <v>39</v>
      </c>
      <c r="T60" s="55">
        <v>65</v>
      </c>
      <c r="U60" s="102">
        <f>AVERAGE(S60,T60)</f>
        <v>52</v>
      </c>
      <c r="V60" s="103">
        <v>0.22</v>
      </c>
      <c r="W60" s="55"/>
      <c r="X60" s="56">
        <f>AVERAGE(V60,W60)</f>
        <v>0.22</v>
      </c>
      <c r="Y60" s="55">
        <f>S60/(3*(1-2*V60))</f>
        <v>23.214285714285712</v>
      </c>
      <c r="Z60" s="56">
        <f>T60/(3*(1-2*W60))</f>
        <v>21.666666666666668</v>
      </c>
      <c r="AA60" s="55">
        <f>S60/(2*(1+V60))</f>
        <v>15.983606557377049</v>
      </c>
      <c r="AB60" s="56">
        <f>T60/(2*(1+W60))</f>
        <v>32.5</v>
      </c>
      <c r="AC60" s="55">
        <v>0.2</v>
      </c>
      <c r="AD60" s="56">
        <v>1</v>
      </c>
      <c r="AE60" s="55">
        <v>44</v>
      </c>
      <c r="AF60" s="56">
        <v>55.5</v>
      </c>
      <c r="AG60" s="55">
        <v>18.2</v>
      </c>
      <c r="AH60" s="56">
        <v>35.5</v>
      </c>
      <c r="AI60" s="55">
        <v>117.7</v>
      </c>
      <c r="AJ60" s="56">
        <v>167.3</v>
      </c>
      <c r="AK60" s="55"/>
      <c r="AL60" s="56"/>
      <c r="AM60" s="55"/>
      <c r="AN60" s="56"/>
      <c r="AO60" s="59"/>
      <c r="AP60" s="60">
        <v>1.0000000000000001E-5</v>
      </c>
      <c r="AQ60" s="61"/>
      <c r="AR60" s="62"/>
      <c r="AS60" s="38" t="s">
        <v>535</v>
      </c>
      <c r="AT60" s="63">
        <v>2.4899999999999999E-2</v>
      </c>
      <c r="AU60" s="64">
        <v>0</v>
      </c>
      <c r="AV60" s="64">
        <f>AT60*CU60+AU60</f>
        <v>115.26209999999999</v>
      </c>
      <c r="AW60" s="53">
        <f>AT60*CV60+AU60</f>
        <v>124.49999999999999</v>
      </c>
      <c r="AX60" s="63">
        <v>5.0000000000000001E-3</v>
      </c>
      <c r="AY60" s="64">
        <v>90</v>
      </c>
      <c r="AZ60" s="64">
        <f>AX60*CU60+AY60</f>
        <v>113.145</v>
      </c>
      <c r="BA60" s="53">
        <f>AX60*CV60+AY60</f>
        <v>115</v>
      </c>
      <c r="BB60" s="63">
        <v>7.0000000000000001E-3</v>
      </c>
      <c r="BC60" s="64">
        <v>42</v>
      </c>
      <c r="BD60" s="64">
        <f>BB60*CU60+BC60</f>
        <v>74.402999999999992</v>
      </c>
      <c r="BE60" s="53">
        <f>BB60*CV60+BC60</f>
        <v>77</v>
      </c>
      <c r="BF60" s="36" t="s">
        <v>546</v>
      </c>
      <c r="BG60" s="38" t="s">
        <v>759</v>
      </c>
      <c r="BH60" s="63">
        <v>9.8099999999999993E-3</v>
      </c>
      <c r="BI60" s="64">
        <v>0</v>
      </c>
      <c r="BJ60" s="64">
        <f>BH60*CU60+BI60</f>
        <v>45.410489999999996</v>
      </c>
      <c r="BK60" s="53">
        <f>BH60*CV60+BI60</f>
        <v>49.05</v>
      </c>
      <c r="BL60" s="61">
        <v>190</v>
      </c>
      <c r="BM60" s="62">
        <v>200</v>
      </c>
      <c r="BN60" s="36"/>
      <c r="BO60" s="38"/>
      <c r="BP60" s="36"/>
      <c r="BQ60" s="38"/>
      <c r="BR60" s="36"/>
      <c r="BS60" s="38"/>
      <c r="BT60" s="38"/>
      <c r="BU60" s="38"/>
      <c r="BV60" s="61"/>
      <c r="BW60" s="62"/>
      <c r="BX60" s="61"/>
      <c r="BY60" s="62"/>
      <c r="BZ60" s="62"/>
      <c r="CA60" s="61">
        <v>4700</v>
      </c>
      <c r="CB60" s="62"/>
      <c r="CC60" s="36"/>
      <c r="CD60" s="38"/>
      <c r="CE60" s="64"/>
      <c r="CF60" s="53"/>
      <c r="CG60" s="36"/>
      <c r="CH60" s="38"/>
      <c r="CI60" s="36"/>
      <c r="CJ60" s="38"/>
      <c r="CK60" s="36"/>
      <c r="CL60" s="38"/>
      <c r="CM60" s="36"/>
      <c r="CN60" s="38"/>
      <c r="CO60" s="36"/>
      <c r="CP60" s="38"/>
      <c r="CQ60" s="36"/>
      <c r="CR60" s="38"/>
      <c r="CS60" s="36"/>
      <c r="CT60" s="38"/>
      <c r="CU60" s="61">
        <v>4629</v>
      </c>
      <c r="CV60" s="62">
        <v>5000</v>
      </c>
      <c r="CW60" s="38" t="s">
        <v>266</v>
      </c>
      <c r="CX60" s="145">
        <v>39053</v>
      </c>
      <c r="CY60" s="38" t="s">
        <v>615</v>
      </c>
      <c r="CZ60" s="38">
        <v>30</v>
      </c>
      <c r="DA60" s="60">
        <v>5.5E-2</v>
      </c>
      <c r="DB60" s="59">
        <v>11566</v>
      </c>
      <c r="DC60" s="60"/>
      <c r="DD60" s="59"/>
      <c r="DE60" s="60"/>
      <c r="DF60" s="53">
        <v>29.6</v>
      </c>
      <c r="DG60" s="53"/>
      <c r="DH60" s="146">
        <v>39053</v>
      </c>
      <c r="DI60" s="53"/>
      <c r="DJ60" s="38" t="s">
        <v>760</v>
      </c>
      <c r="DK60" s="61">
        <v>4000</v>
      </c>
      <c r="DL60" s="61">
        <v>5000</v>
      </c>
      <c r="DM60" s="72">
        <v>2.31</v>
      </c>
      <c r="DN60" s="64">
        <v>0.9</v>
      </c>
      <c r="DO60" s="72">
        <v>6.08</v>
      </c>
      <c r="DP60" s="64">
        <v>1.58</v>
      </c>
      <c r="DQ60" s="72">
        <v>3.32</v>
      </c>
      <c r="DR60" s="53">
        <v>1.1499999999999999</v>
      </c>
      <c r="DS60" s="53">
        <v>3.4</v>
      </c>
      <c r="DT60" s="38" t="s">
        <v>581</v>
      </c>
      <c r="DU60" s="61"/>
      <c r="DV60" s="62">
        <v>4600</v>
      </c>
      <c r="DW60" s="62"/>
      <c r="DX60" s="113">
        <v>39059</v>
      </c>
      <c r="DY60" s="114" t="s">
        <v>761</v>
      </c>
      <c r="DZ60" s="140" t="s">
        <v>762</v>
      </c>
      <c r="EA60" s="241" t="s">
        <v>1087</v>
      </c>
    </row>
    <row r="61" spans="1:131" x14ac:dyDescent="0.4">
      <c r="A61" s="4" t="s">
        <v>146</v>
      </c>
      <c r="B61" s="5" t="s">
        <v>148</v>
      </c>
      <c r="C61" s="8">
        <v>47.415719000000003</v>
      </c>
      <c r="D61" s="8">
        <v>9.3293379999999999</v>
      </c>
      <c r="E61" s="7" t="s">
        <v>46</v>
      </c>
      <c r="F61" s="5" t="s">
        <v>149</v>
      </c>
      <c r="G61" s="7" t="s">
        <v>96</v>
      </c>
      <c r="H61" s="4" t="s">
        <v>116</v>
      </c>
      <c r="I61" s="52"/>
      <c r="J61" s="53"/>
      <c r="K61" s="36">
        <v>2650</v>
      </c>
      <c r="L61" s="38"/>
      <c r="M61" s="54">
        <v>1.7999999999999999E-2</v>
      </c>
      <c r="N61" s="55">
        <v>5.8000000000000003E-2</v>
      </c>
      <c r="O61" s="56">
        <f>AVERAGE(M61,N61)</f>
        <v>3.7999999999999999E-2</v>
      </c>
      <c r="P61" s="59">
        <v>1.0000000000000001E-17</v>
      </c>
      <c r="Q61" s="59">
        <v>4.9999999999999999E-17</v>
      </c>
      <c r="R61" s="58">
        <f>AVERAGE(P61,Q61)</f>
        <v>3.0000000000000001E-17</v>
      </c>
      <c r="S61" s="54">
        <v>6</v>
      </c>
      <c r="T61" s="55"/>
      <c r="U61" s="56">
        <v>6</v>
      </c>
      <c r="V61" s="55">
        <v>0.25</v>
      </c>
      <c r="W61" s="55"/>
      <c r="X61" s="56">
        <v>0.25</v>
      </c>
      <c r="Y61" s="54">
        <v>4</v>
      </c>
      <c r="Z61" s="56"/>
      <c r="AA61" s="54">
        <v>2.4</v>
      </c>
      <c r="AB61" s="56"/>
      <c r="AC61" s="54">
        <v>0.75</v>
      </c>
      <c r="AD61" s="56"/>
      <c r="AE61" s="54">
        <v>31</v>
      </c>
      <c r="AF61" s="56">
        <v>42</v>
      </c>
      <c r="AG61" s="55">
        <v>20</v>
      </c>
      <c r="AH61" s="56">
        <v>97</v>
      </c>
      <c r="AI61" s="54"/>
      <c r="AJ61" s="56"/>
      <c r="AK61" s="55"/>
      <c r="AL61" s="56"/>
      <c r="AM61" s="54"/>
      <c r="AN61" s="56"/>
      <c r="AO61" s="59"/>
      <c r="AP61" s="60"/>
      <c r="AQ61" s="61"/>
      <c r="AR61" s="62">
        <v>4800</v>
      </c>
      <c r="AS61" s="38" t="s">
        <v>535</v>
      </c>
      <c r="AT61" s="63">
        <v>2.5180000000000001E-2</v>
      </c>
      <c r="AU61" s="64">
        <v>0</v>
      </c>
      <c r="AV61" s="64">
        <f>PRODUCT(AT61,CU61)</f>
        <v>95.9358</v>
      </c>
      <c r="AW61" s="53">
        <f>PRODUCT(AT61,CV61)</f>
        <v>107.09054</v>
      </c>
      <c r="AX61" s="65">
        <f>AT61*1.41</f>
        <v>3.5503800000000002E-2</v>
      </c>
      <c r="AY61" s="64">
        <v>0</v>
      </c>
      <c r="AZ61" s="64">
        <f>PRODUCT(AX61,CU61)</f>
        <v>135.26947800000002</v>
      </c>
      <c r="BA61" s="53">
        <f>PRODUCT(AX61,CV61)</f>
        <v>150.9976614</v>
      </c>
      <c r="BB61" s="63">
        <f>AT61*0.61</f>
        <v>1.53598E-2</v>
      </c>
      <c r="BC61" s="64">
        <v>0</v>
      </c>
      <c r="BD61" s="64">
        <f>PRODUCT(BB61,CU61)</f>
        <v>58.520837999999998</v>
      </c>
      <c r="BE61" s="53">
        <f>PRODUCT(BB61,CV61)</f>
        <v>65.325229399999998</v>
      </c>
      <c r="BF61" s="36" t="s">
        <v>763</v>
      </c>
      <c r="BG61" s="38" t="s">
        <v>656</v>
      </c>
      <c r="BH61" s="63">
        <f>37/CU61</f>
        <v>9.711286089238845E-3</v>
      </c>
      <c r="BI61" s="64">
        <v>0</v>
      </c>
      <c r="BJ61" s="64">
        <f>PRODUCT(BH61,CU61)</f>
        <v>37</v>
      </c>
      <c r="BK61" s="53">
        <f>PRODUCT(BH61,CV61)</f>
        <v>41.302099737532807</v>
      </c>
      <c r="BL61" s="66">
        <v>145</v>
      </c>
      <c r="BM61" s="62"/>
      <c r="BN61" s="37" t="s">
        <v>764</v>
      </c>
      <c r="BO61" s="38"/>
      <c r="BP61" s="36">
        <v>77</v>
      </c>
      <c r="BQ61" s="38"/>
      <c r="BR61" s="37"/>
      <c r="BS61" s="38"/>
      <c r="BT61" s="35"/>
      <c r="BU61" s="38"/>
      <c r="BV61" s="66"/>
      <c r="BW61" s="62"/>
      <c r="BX61" s="66"/>
      <c r="BY61" s="62"/>
      <c r="BZ61" s="67"/>
      <c r="CA61" s="61"/>
      <c r="CB61" s="62"/>
      <c r="CC61" s="37"/>
      <c r="CD61" s="38"/>
      <c r="CE61" s="64"/>
      <c r="CF61" s="53"/>
      <c r="CG61" s="37"/>
      <c r="CH61" s="38"/>
      <c r="CI61" s="36"/>
      <c r="CJ61" s="38"/>
      <c r="CK61" s="37"/>
      <c r="CL61" s="38"/>
      <c r="CM61" s="36"/>
      <c r="CN61" s="38"/>
      <c r="CO61" s="37"/>
      <c r="CP61" s="38"/>
      <c r="CQ61" s="37"/>
      <c r="CR61" s="38"/>
      <c r="CS61" s="37"/>
      <c r="CT61" s="38"/>
      <c r="CU61" s="61">
        <v>3810</v>
      </c>
      <c r="CV61" s="61">
        <v>4253</v>
      </c>
      <c r="CW61" s="35"/>
      <c r="CX61" s="68">
        <v>41469</v>
      </c>
      <c r="CY61" s="37"/>
      <c r="CZ61" s="35">
        <v>30</v>
      </c>
      <c r="DA61" s="60">
        <v>5.3999999999999999E-2</v>
      </c>
      <c r="DB61" s="69">
        <v>729</v>
      </c>
      <c r="DC61" s="60"/>
      <c r="DD61" s="69"/>
      <c r="DE61" s="60"/>
      <c r="DF61" s="70">
        <v>9</v>
      </c>
      <c r="DG61" s="70"/>
      <c r="DH61" s="71">
        <v>41472</v>
      </c>
      <c r="DI61" s="64"/>
      <c r="DJ61" s="35" t="s">
        <v>765</v>
      </c>
      <c r="DK61" s="61">
        <v>3800</v>
      </c>
      <c r="DL61" s="61">
        <v>4200</v>
      </c>
      <c r="DM61" s="72"/>
      <c r="DN61" s="64"/>
      <c r="DO61" s="72"/>
      <c r="DP61" s="64">
        <v>0.8</v>
      </c>
      <c r="DQ61" s="72"/>
      <c r="DR61" s="64"/>
      <c r="DS61" s="70">
        <v>3.5</v>
      </c>
      <c r="DT61" s="36" t="s">
        <v>581</v>
      </c>
      <c r="DU61" s="66"/>
      <c r="DV61" s="62"/>
      <c r="DW61" s="62"/>
      <c r="DX61" s="73">
        <v>41475</v>
      </c>
      <c r="DY61" s="114"/>
      <c r="DZ61" s="74" t="s">
        <v>766</v>
      </c>
      <c r="EA61" s="241" t="s">
        <v>767</v>
      </c>
    </row>
    <row r="62" spans="1:131" x14ac:dyDescent="0.4">
      <c r="A62" s="4" t="s">
        <v>150</v>
      </c>
      <c r="B62" s="5" t="s">
        <v>151</v>
      </c>
      <c r="C62" s="8">
        <v>50.168087</v>
      </c>
      <c r="D62" s="8">
        <v>-5.1724600000000001</v>
      </c>
      <c r="E62" s="7" t="s">
        <v>46</v>
      </c>
      <c r="F62" s="5" t="s">
        <v>92</v>
      </c>
      <c r="G62" s="7" t="s">
        <v>152</v>
      </c>
      <c r="H62" s="4" t="s">
        <v>49</v>
      </c>
      <c r="I62" s="52"/>
      <c r="J62" s="53"/>
      <c r="K62" s="36"/>
      <c r="L62" s="38"/>
      <c r="M62" s="54">
        <v>1E-3</v>
      </c>
      <c r="N62" s="55"/>
      <c r="O62" s="56">
        <f>AVERAGE(M62,N62)</f>
        <v>1E-3</v>
      </c>
      <c r="P62" s="59">
        <v>1.0000000000000001E-18</v>
      </c>
      <c r="Q62" s="59">
        <v>1.0000000000000001E-17</v>
      </c>
      <c r="R62" s="60">
        <v>5.0000000000000004E-18</v>
      </c>
      <c r="S62" s="54">
        <v>50</v>
      </c>
      <c r="T62" s="55">
        <v>70</v>
      </c>
      <c r="U62" s="56">
        <f>AVERAGE(S62,T62)</f>
        <v>60</v>
      </c>
      <c r="V62" s="55">
        <v>0.18</v>
      </c>
      <c r="W62" s="55">
        <v>0.22</v>
      </c>
      <c r="X62" s="56">
        <f>AVERAGE(V62,W62)</f>
        <v>0.2</v>
      </c>
      <c r="Y62" s="54">
        <f>S62/(3*(1-2*V62))</f>
        <v>26.041666666666668</v>
      </c>
      <c r="Z62" s="56">
        <f>T62/(3*(1-2*W62))</f>
        <v>41.666666666666664</v>
      </c>
      <c r="AA62" s="54">
        <f>S62/(2*(1+V62))</f>
        <v>21.186440677966104</v>
      </c>
      <c r="AB62" s="56">
        <f>T62/(2*(1+W62))</f>
        <v>28.688524590163937</v>
      </c>
      <c r="AC62" s="54"/>
      <c r="AD62" s="56"/>
      <c r="AE62" s="54"/>
      <c r="AF62" s="56"/>
      <c r="AG62" s="55"/>
      <c r="AH62" s="56"/>
      <c r="AI62" s="54">
        <v>100</v>
      </c>
      <c r="AJ62" s="56">
        <v>170</v>
      </c>
      <c r="AK62" s="55">
        <v>9</v>
      </c>
      <c r="AL62" s="56">
        <v>15</v>
      </c>
      <c r="AM62" s="54"/>
      <c r="AN62" s="56"/>
      <c r="AO62" s="59"/>
      <c r="AP62" s="60"/>
      <c r="AQ62" s="61"/>
      <c r="AR62" s="62"/>
      <c r="AS62" s="38" t="s">
        <v>535</v>
      </c>
      <c r="AT62" s="63">
        <v>2.5999999999999999E-2</v>
      </c>
      <c r="AU62" s="64">
        <v>0</v>
      </c>
      <c r="AV62" s="64">
        <f>PRODUCT(AT62,CU62)+AU62</f>
        <v>52</v>
      </c>
      <c r="AW62" s="53">
        <f>PRODUCT(AT62,CV62)+AU62</f>
        <v>67.599999999999994</v>
      </c>
      <c r="AX62" s="65">
        <v>2.8000000000000001E-2</v>
      </c>
      <c r="AY62" s="64">
        <v>15</v>
      </c>
      <c r="AZ62" s="64">
        <f>PRODUCT(AX62,CU62)+AY62</f>
        <v>71</v>
      </c>
      <c r="BA62" s="53">
        <f>PRODUCT(AX62,CV62)+AY62</f>
        <v>87.8</v>
      </c>
      <c r="BB62" s="63">
        <v>1.2E-2</v>
      </c>
      <c r="BC62" s="64">
        <v>6</v>
      </c>
      <c r="BD62" s="64">
        <f>PRODUCT(BB62,CU62)+BC62</f>
        <v>30</v>
      </c>
      <c r="BE62" s="53">
        <f>PRODUCT(BB62,CV62)+BC62</f>
        <v>37.200000000000003</v>
      </c>
      <c r="BF62" s="36" t="s">
        <v>546</v>
      </c>
      <c r="BG62" s="38"/>
      <c r="BH62" s="63">
        <v>9.7999999999999997E-3</v>
      </c>
      <c r="BI62" s="64">
        <v>0</v>
      </c>
      <c r="BJ62" s="64">
        <f>PRODUCT(BH62,CU62)</f>
        <v>19.599999999999998</v>
      </c>
      <c r="BK62" s="53">
        <f>PRODUCT(BB62,CV62)</f>
        <v>31.2</v>
      </c>
      <c r="BL62" s="66">
        <v>100</v>
      </c>
      <c r="BM62" s="62"/>
      <c r="BN62" s="37"/>
      <c r="BO62" s="38"/>
      <c r="BP62" s="36"/>
      <c r="BQ62" s="38"/>
      <c r="BR62" s="37"/>
      <c r="BS62" s="38"/>
      <c r="BT62" s="35"/>
      <c r="BU62" s="38"/>
      <c r="BV62" s="66"/>
      <c r="BW62" s="62"/>
      <c r="BX62" s="66"/>
      <c r="BY62" s="62"/>
      <c r="BZ62" s="67"/>
      <c r="CA62" s="61"/>
      <c r="CB62" s="62"/>
      <c r="CC62" s="37"/>
      <c r="CD62" s="38"/>
      <c r="CE62" s="64"/>
      <c r="CF62" s="53"/>
      <c r="CG62" s="37"/>
      <c r="CH62" s="38"/>
      <c r="CI62" s="36"/>
      <c r="CJ62" s="38"/>
      <c r="CK62" s="37"/>
      <c r="CL62" s="38"/>
      <c r="CM62" s="36"/>
      <c r="CN62" s="38"/>
      <c r="CO62" s="37"/>
      <c r="CP62" s="38"/>
      <c r="CQ62" s="37"/>
      <c r="CR62" s="38"/>
      <c r="CS62" s="37"/>
      <c r="CT62" s="38">
        <v>40.4</v>
      </c>
      <c r="CU62" s="66">
        <v>2000</v>
      </c>
      <c r="CV62" s="61">
        <v>2600</v>
      </c>
      <c r="CW62" s="35" t="s">
        <v>768</v>
      </c>
      <c r="CX62" s="68">
        <v>31778</v>
      </c>
      <c r="CY62" s="37" t="s">
        <v>769</v>
      </c>
      <c r="CZ62" s="35"/>
      <c r="DA62" s="60">
        <v>0.1</v>
      </c>
      <c r="DB62" s="69">
        <v>100000</v>
      </c>
      <c r="DC62" s="60"/>
      <c r="DD62" s="69"/>
      <c r="DE62" s="60"/>
      <c r="DF62" s="70">
        <v>16</v>
      </c>
      <c r="DG62" s="70"/>
      <c r="DH62" s="71"/>
      <c r="DI62" s="64"/>
      <c r="DJ62" s="35"/>
      <c r="DK62" s="61">
        <v>2000</v>
      </c>
      <c r="DL62" s="61">
        <v>3500</v>
      </c>
      <c r="DM62" s="72"/>
      <c r="DN62" s="64"/>
      <c r="DO62" s="72"/>
      <c r="DP62" s="64"/>
      <c r="DQ62" s="72"/>
      <c r="DR62" s="64"/>
      <c r="DS62" s="70">
        <v>2</v>
      </c>
      <c r="DT62" s="36" t="s">
        <v>581</v>
      </c>
      <c r="DU62" s="66"/>
      <c r="DV62" s="62">
        <v>3100</v>
      </c>
      <c r="DW62" s="62"/>
      <c r="DX62" s="73">
        <v>31970</v>
      </c>
      <c r="DY62" s="114"/>
      <c r="DZ62" s="74"/>
      <c r="EA62" s="241" t="s">
        <v>770</v>
      </c>
    </row>
    <row r="63" spans="1:131" x14ac:dyDescent="0.4">
      <c r="A63" s="4" t="s">
        <v>150</v>
      </c>
      <c r="B63" s="5" t="s">
        <v>153</v>
      </c>
      <c r="C63" s="8">
        <v>50.229798000000002</v>
      </c>
      <c r="D63" s="8">
        <v>-5.1657299999999999</v>
      </c>
      <c r="E63" s="7" t="s">
        <v>46</v>
      </c>
      <c r="F63" s="5" t="s">
        <v>141</v>
      </c>
      <c r="G63" s="7" t="s">
        <v>154</v>
      </c>
      <c r="H63" s="4" t="s">
        <v>155</v>
      </c>
      <c r="I63" s="52"/>
      <c r="J63" s="53"/>
      <c r="K63" s="36">
        <v>2700</v>
      </c>
      <c r="L63" s="38"/>
      <c r="M63" s="54">
        <v>0.1</v>
      </c>
      <c r="N63" s="55"/>
      <c r="O63" s="56">
        <v>0.1</v>
      </c>
      <c r="P63" s="59">
        <v>9.9999999999999998E-17</v>
      </c>
      <c r="Q63" s="36"/>
      <c r="R63" s="60">
        <f>AVERAGE(P63,Q63)</f>
        <v>9.9999999999999998E-17</v>
      </c>
      <c r="S63" s="54">
        <v>25.2</v>
      </c>
      <c r="T63" s="55"/>
      <c r="U63" s="56">
        <v>25.2</v>
      </c>
      <c r="V63" s="55">
        <v>0.22</v>
      </c>
      <c r="W63" s="55"/>
      <c r="X63" s="56">
        <v>0.22</v>
      </c>
      <c r="Y63" s="54">
        <v>15</v>
      </c>
      <c r="Z63" s="56"/>
      <c r="AA63" s="54">
        <v>10.33</v>
      </c>
      <c r="AB63" s="56"/>
      <c r="AC63" s="54"/>
      <c r="AD63" s="56"/>
      <c r="AE63" s="54"/>
      <c r="AF63" s="56"/>
      <c r="AG63" s="55">
        <v>3</v>
      </c>
      <c r="AH63" s="56"/>
      <c r="AI63" s="54"/>
      <c r="AJ63" s="56"/>
      <c r="AK63" s="55"/>
      <c r="AL63" s="56"/>
      <c r="AM63" s="54"/>
      <c r="AN63" s="56"/>
      <c r="AO63" s="59"/>
      <c r="AP63" s="60"/>
      <c r="AQ63" s="61"/>
      <c r="AR63" s="62"/>
      <c r="AS63" s="38" t="s">
        <v>552</v>
      </c>
      <c r="AT63" s="63">
        <v>2.5274999999999999E-2</v>
      </c>
      <c r="AU63" s="64">
        <v>0</v>
      </c>
      <c r="AV63" s="64"/>
      <c r="AW63" s="53"/>
      <c r="AX63" s="65">
        <v>2.5989999999999999E-2</v>
      </c>
      <c r="AY63" s="64">
        <v>5.9</v>
      </c>
      <c r="AZ63" s="64"/>
      <c r="BA63" s="53"/>
      <c r="BB63" s="63">
        <v>1.321E-2</v>
      </c>
      <c r="BC63" s="64">
        <v>3</v>
      </c>
      <c r="BD63" s="64"/>
      <c r="BE63" s="53"/>
      <c r="BF63" s="36" t="s">
        <v>771</v>
      </c>
      <c r="BG63" s="38"/>
      <c r="BH63" s="63"/>
      <c r="BI63" s="64"/>
      <c r="BJ63" s="64"/>
      <c r="BK63" s="53"/>
      <c r="BL63" s="66">
        <v>190</v>
      </c>
      <c r="BM63" s="62"/>
      <c r="BN63" s="37" t="s">
        <v>607</v>
      </c>
      <c r="BO63" s="38"/>
      <c r="BP63" s="36"/>
      <c r="BQ63" s="38"/>
      <c r="BR63" s="37"/>
      <c r="BS63" s="38"/>
      <c r="BT63" s="35"/>
      <c r="BU63" s="38"/>
      <c r="BV63" s="66"/>
      <c r="BW63" s="62"/>
      <c r="BX63" s="66"/>
      <c r="BY63" s="62"/>
      <c r="BZ63" s="67"/>
      <c r="CA63" s="61"/>
      <c r="CB63" s="62"/>
      <c r="CC63" s="37">
        <v>2700</v>
      </c>
      <c r="CD63" s="38"/>
      <c r="CE63" s="64">
        <v>0.01</v>
      </c>
      <c r="CF63" s="53"/>
      <c r="CG63" s="69">
        <v>9.9999999999999998E-17</v>
      </c>
      <c r="CH63" s="38"/>
      <c r="CI63" s="36"/>
      <c r="CJ63" s="38"/>
      <c r="CK63" s="37"/>
      <c r="CL63" s="38"/>
      <c r="CM63" s="36">
        <v>9</v>
      </c>
      <c r="CN63" s="38"/>
      <c r="CO63" s="37">
        <v>25.2</v>
      </c>
      <c r="CP63" s="38"/>
      <c r="CQ63" s="37">
        <v>0.22</v>
      </c>
      <c r="CR63" s="38"/>
      <c r="CS63" s="37">
        <v>28</v>
      </c>
      <c r="CT63" s="38"/>
      <c r="CU63" s="66">
        <v>2393</v>
      </c>
      <c r="CV63" s="118">
        <v>5275</v>
      </c>
      <c r="CW63" s="35"/>
      <c r="CX63" s="68"/>
      <c r="CY63" s="37" t="s">
        <v>603</v>
      </c>
      <c r="CZ63" s="35"/>
      <c r="DA63" s="60">
        <v>0.06</v>
      </c>
      <c r="DB63" s="69"/>
      <c r="DC63" s="60"/>
      <c r="DD63" s="69"/>
      <c r="DE63" s="60"/>
      <c r="DF63" s="70"/>
      <c r="DG63" s="70"/>
      <c r="DH63" s="71"/>
      <c r="DI63" s="117"/>
      <c r="DJ63" s="35"/>
      <c r="DK63" s="61"/>
      <c r="DL63" s="61"/>
      <c r="DM63" s="72"/>
      <c r="DN63" s="64"/>
      <c r="DO63" s="72"/>
      <c r="DP63" s="64"/>
      <c r="DQ63" s="72"/>
      <c r="DR63" s="64"/>
      <c r="DS63" s="70">
        <v>1.5</v>
      </c>
      <c r="DT63" s="36" t="s">
        <v>581</v>
      </c>
      <c r="DU63" s="66">
        <v>4000</v>
      </c>
      <c r="DV63" s="62"/>
      <c r="DW63" s="62"/>
      <c r="DX63" s="73">
        <v>44104</v>
      </c>
      <c r="DY63" s="4" t="s">
        <v>772</v>
      </c>
      <c r="DZ63" s="131" t="s">
        <v>637</v>
      </c>
      <c r="EA63" s="241" t="s">
        <v>773</v>
      </c>
    </row>
    <row r="64" spans="1:131" x14ac:dyDescent="0.4">
      <c r="A64" s="4" t="s">
        <v>40</v>
      </c>
      <c r="B64" s="5" t="s">
        <v>156</v>
      </c>
      <c r="C64" s="8">
        <v>36.037357999999998</v>
      </c>
      <c r="D64" s="8">
        <v>-117.79780599999999</v>
      </c>
      <c r="E64" s="7" t="s">
        <v>46</v>
      </c>
      <c r="F64" s="5" t="s">
        <v>157</v>
      </c>
      <c r="G64" s="7"/>
      <c r="H64" s="4" t="s">
        <v>158</v>
      </c>
      <c r="I64" s="52"/>
      <c r="J64" s="53"/>
      <c r="K64" s="36"/>
      <c r="L64" s="38"/>
      <c r="M64" s="54"/>
      <c r="N64" s="55"/>
      <c r="O64" s="56"/>
      <c r="P64" s="36"/>
      <c r="Q64" s="36"/>
      <c r="R64" s="38"/>
      <c r="S64" s="54">
        <v>65</v>
      </c>
      <c r="T64" s="55"/>
      <c r="U64" s="56">
        <v>65</v>
      </c>
      <c r="V64" s="55">
        <v>0.185</v>
      </c>
      <c r="W64" s="55"/>
      <c r="X64" s="56">
        <v>0.185</v>
      </c>
      <c r="Y64" s="54">
        <v>34.479999999999997</v>
      </c>
      <c r="Z64" s="56"/>
      <c r="AA64" s="54">
        <v>27.5</v>
      </c>
      <c r="AB64" s="56"/>
      <c r="AC64" s="54"/>
      <c r="AD64" s="56"/>
      <c r="AE64" s="54"/>
      <c r="AF64" s="56"/>
      <c r="AG64" s="55"/>
      <c r="AH64" s="56"/>
      <c r="AI64" s="54"/>
      <c r="AJ64" s="56"/>
      <c r="AK64" s="55"/>
      <c r="AL64" s="56"/>
      <c r="AM64" s="54"/>
      <c r="AN64" s="56"/>
      <c r="AO64" s="59"/>
      <c r="AP64" s="60"/>
      <c r="AQ64" s="61"/>
      <c r="AR64" s="62"/>
      <c r="AS64" s="38"/>
      <c r="AT64" s="63">
        <v>2.7879999999999999E-2</v>
      </c>
      <c r="AU64" s="64">
        <v>0</v>
      </c>
      <c r="AV64" s="64">
        <v>51</v>
      </c>
      <c r="AW64" s="53"/>
      <c r="AX64" s="65">
        <v>4.5600000000000002E-2</v>
      </c>
      <c r="AY64" s="64">
        <v>0</v>
      </c>
      <c r="AZ64" s="64">
        <f>PRODUCT(AX64,CU64)</f>
        <v>134.7936</v>
      </c>
      <c r="BA64" s="53"/>
      <c r="BB64" s="63">
        <v>1.7500000000000002E-2</v>
      </c>
      <c r="BC64" s="64">
        <v>0</v>
      </c>
      <c r="BD64" s="64">
        <f>PRODUCT(BB64,CU64)</f>
        <v>51.730000000000004</v>
      </c>
      <c r="BE64" s="53"/>
      <c r="BF64" s="36"/>
      <c r="BG64" s="38"/>
      <c r="BH64" s="63"/>
      <c r="BI64" s="64"/>
      <c r="BJ64" s="64"/>
      <c r="BK64" s="53"/>
      <c r="BL64" s="66"/>
      <c r="BM64" s="62" t="s">
        <v>774</v>
      </c>
      <c r="BN64" s="37" t="s">
        <v>775</v>
      </c>
      <c r="BO64" s="38"/>
      <c r="BP64" s="36">
        <v>75</v>
      </c>
      <c r="BQ64" s="38"/>
      <c r="BR64" s="37" t="s">
        <v>689</v>
      </c>
      <c r="BS64" s="38"/>
      <c r="BT64" s="35"/>
      <c r="BU64" s="38"/>
      <c r="BV64" s="66"/>
      <c r="BW64" s="62"/>
      <c r="BX64" s="66"/>
      <c r="BY64" s="62"/>
      <c r="BZ64" s="67"/>
      <c r="CA64" s="61"/>
      <c r="CB64" s="62"/>
      <c r="CC64" s="37"/>
      <c r="CD64" s="38"/>
      <c r="CE64" s="64"/>
      <c r="CF64" s="53"/>
      <c r="CG64" s="37"/>
      <c r="CH64" s="38"/>
      <c r="CI64" s="36"/>
      <c r="CJ64" s="38"/>
      <c r="CK64" s="37"/>
      <c r="CL64" s="38"/>
      <c r="CM64" s="36"/>
      <c r="CN64" s="38"/>
      <c r="CO64" s="37"/>
      <c r="CP64" s="38"/>
      <c r="CQ64" s="37"/>
      <c r="CR64" s="38"/>
      <c r="CS64" s="37"/>
      <c r="CT64" s="38"/>
      <c r="CU64" s="66">
        <v>2956</v>
      </c>
      <c r="CV64" s="61"/>
      <c r="CW64" s="35"/>
      <c r="CX64" s="68">
        <v>38205</v>
      </c>
      <c r="CY64" s="37"/>
      <c r="CZ64" s="35"/>
      <c r="DA64" s="60">
        <v>3.8999999999999999E-4</v>
      </c>
      <c r="DB64" s="69"/>
      <c r="DC64" s="60"/>
      <c r="DD64" s="69"/>
      <c r="DE64" s="60"/>
      <c r="DF64" s="70">
        <v>0.41</v>
      </c>
      <c r="DG64" s="70"/>
      <c r="DH64" s="71"/>
      <c r="DI64" s="64"/>
      <c r="DJ64" s="35" t="s">
        <v>776</v>
      </c>
      <c r="DK64" s="61"/>
      <c r="DL64" s="61"/>
      <c r="DM64" s="72"/>
      <c r="DN64" s="64"/>
      <c r="DO64" s="72"/>
      <c r="DP64" s="64"/>
      <c r="DQ64" s="72"/>
      <c r="DR64" s="64"/>
      <c r="DS64" s="70">
        <v>2.8</v>
      </c>
      <c r="DT64" s="36"/>
      <c r="DU64" s="66"/>
      <c r="DV64" s="62"/>
      <c r="DW64" s="62"/>
      <c r="DX64" s="73">
        <v>38200</v>
      </c>
      <c r="DY64" s="4"/>
      <c r="DZ64" s="74" t="s">
        <v>777</v>
      </c>
      <c r="EA64" s="241" t="s">
        <v>778</v>
      </c>
    </row>
    <row r="65" spans="1:131" x14ac:dyDescent="0.4">
      <c r="A65" s="4" t="s">
        <v>40</v>
      </c>
      <c r="B65" s="5" t="s">
        <v>159</v>
      </c>
      <c r="C65" s="8">
        <v>39.632821</v>
      </c>
      <c r="D65" s="8">
        <v>-118.795868</v>
      </c>
      <c r="E65" s="7" t="s">
        <v>46</v>
      </c>
      <c r="F65" s="5" t="s">
        <v>47</v>
      </c>
      <c r="G65" s="7"/>
      <c r="H65" s="4" t="s">
        <v>160</v>
      </c>
      <c r="I65" s="52"/>
      <c r="J65" s="53"/>
      <c r="K65" s="36"/>
      <c r="L65" s="38"/>
      <c r="M65" s="54">
        <v>0.04</v>
      </c>
      <c r="N65" s="55">
        <v>0.1</v>
      </c>
      <c r="O65" s="56">
        <f>AVERAGE(M65,N65)</f>
        <v>7.0000000000000007E-2</v>
      </c>
      <c r="P65" s="59">
        <v>1.0000000000000001E-15</v>
      </c>
      <c r="Q65" s="36"/>
      <c r="R65" s="60">
        <f>AVERAGE(P65,Q65)</f>
        <v>1.0000000000000001E-15</v>
      </c>
      <c r="S65" s="54">
        <v>8.5</v>
      </c>
      <c r="T65" s="55">
        <v>38</v>
      </c>
      <c r="U65" s="56">
        <v>25</v>
      </c>
      <c r="V65" s="55">
        <v>0.13</v>
      </c>
      <c r="W65" s="55">
        <v>0.4</v>
      </c>
      <c r="X65" s="56">
        <v>0.2</v>
      </c>
      <c r="Y65" s="54">
        <v>3.8290000000000002</v>
      </c>
      <c r="Z65" s="56">
        <v>63.33</v>
      </c>
      <c r="AA65" s="54">
        <v>3.7610000000000001</v>
      </c>
      <c r="AB65" s="56">
        <v>13.57</v>
      </c>
      <c r="AC65" s="54"/>
      <c r="AD65" s="56"/>
      <c r="AE65" s="54">
        <v>29.3</v>
      </c>
      <c r="AF65" s="56">
        <v>47.6</v>
      </c>
      <c r="AG65" s="55">
        <v>10</v>
      </c>
      <c r="AH65" s="56">
        <v>34.9</v>
      </c>
      <c r="AI65" s="54">
        <v>82.8</v>
      </c>
      <c r="AJ65" s="56">
        <v>186.2</v>
      </c>
      <c r="AK65" s="55"/>
      <c r="AL65" s="56"/>
      <c r="AM65" s="54"/>
      <c r="AN65" s="56"/>
      <c r="AO65" s="59"/>
      <c r="AP65" s="60"/>
      <c r="AQ65" s="61">
        <v>2000</v>
      </c>
      <c r="AR65" s="62"/>
      <c r="AS65" s="38" t="s">
        <v>552</v>
      </c>
      <c r="AT65" s="63">
        <v>2.4299999999999999E-2</v>
      </c>
      <c r="AU65" s="64">
        <v>0</v>
      </c>
      <c r="AV65" s="64">
        <f>PRODUCT(AT65,CU65)</f>
        <v>22.477499999999999</v>
      </c>
      <c r="AW65" s="53">
        <f>PRODUCT(AT65,CV65)</f>
        <v>43.035299999999999</v>
      </c>
      <c r="AX65" s="65"/>
      <c r="AY65" s="64"/>
      <c r="AZ65" s="64"/>
      <c r="BA65" s="53"/>
      <c r="BB65" s="63">
        <f>0.61*AT65</f>
        <v>1.4822999999999999E-2</v>
      </c>
      <c r="BC65" s="64">
        <v>0</v>
      </c>
      <c r="BD65" s="64">
        <f>PRODUCT(BB65,CU65)</f>
        <v>13.711274999999999</v>
      </c>
      <c r="BE65" s="53">
        <f>PRODUCT(BB65,CV65)</f>
        <v>26.251532999999998</v>
      </c>
      <c r="BF65" s="36" t="s">
        <v>699</v>
      </c>
      <c r="BG65" s="38" t="s">
        <v>726</v>
      </c>
      <c r="BH65" s="63"/>
      <c r="BI65" s="64"/>
      <c r="BJ65" s="64"/>
      <c r="BK65" s="53"/>
      <c r="BL65" s="66">
        <v>179</v>
      </c>
      <c r="BM65" s="62">
        <v>207</v>
      </c>
      <c r="BN65" s="37" t="s">
        <v>764</v>
      </c>
      <c r="BO65" s="38"/>
      <c r="BP65" s="36"/>
      <c r="BQ65" s="38"/>
      <c r="BR65" s="37"/>
      <c r="BS65" s="38"/>
      <c r="BT65" s="35"/>
      <c r="BU65" s="38"/>
      <c r="BV65" s="66"/>
      <c r="BW65" s="62"/>
      <c r="BX65" s="66"/>
      <c r="BY65" s="62"/>
      <c r="BZ65" s="67"/>
      <c r="CA65" s="61"/>
      <c r="CB65" s="62"/>
      <c r="CC65" s="37"/>
      <c r="CD65" s="38"/>
      <c r="CE65" s="64"/>
      <c r="CF65" s="53"/>
      <c r="CG65" s="37"/>
      <c r="CH65" s="38"/>
      <c r="CI65" s="36"/>
      <c r="CJ65" s="38"/>
      <c r="CK65" s="37"/>
      <c r="CL65" s="38"/>
      <c r="CM65" s="36"/>
      <c r="CN65" s="38"/>
      <c r="CO65" s="37"/>
      <c r="CP65" s="38"/>
      <c r="CQ65" s="37"/>
      <c r="CR65" s="38"/>
      <c r="CS65" s="37"/>
      <c r="CT65" s="38"/>
      <c r="CU65" s="66">
        <v>925</v>
      </c>
      <c r="CV65" s="61">
        <v>1771</v>
      </c>
      <c r="CW65" s="35"/>
      <c r="CX65" s="68">
        <v>41275</v>
      </c>
      <c r="CY65" s="37" t="s">
        <v>597</v>
      </c>
      <c r="CZ65" s="35">
        <v>30</v>
      </c>
      <c r="DA65" s="60">
        <v>0.10100000000000001</v>
      </c>
      <c r="DB65" s="69">
        <v>20000</v>
      </c>
      <c r="DC65" s="60"/>
      <c r="DD65" s="69"/>
      <c r="DE65" s="60"/>
      <c r="DF65" s="70">
        <v>10.3</v>
      </c>
      <c r="DG65" s="70"/>
      <c r="DH65" s="71"/>
      <c r="DI65" s="64"/>
      <c r="DJ65" s="35">
        <v>300</v>
      </c>
      <c r="DK65" s="61"/>
      <c r="DL65" s="61"/>
      <c r="DM65" s="72"/>
      <c r="DN65" s="64"/>
      <c r="DO65" s="72"/>
      <c r="DP65" s="64"/>
      <c r="DQ65" s="72"/>
      <c r="DR65" s="64"/>
      <c r="DS65" s="70">
        <v>1.7</v>
      </c>
      <c r="DT65" s="36" t="s">
        <v>581</v>
      </c>
      <c r="DU65" s="66"/>
      <c r="DV65" s="62"/>
      <c r="DW65" s="62"/>
      <c r="DX65" s="73">
        <v>41306</v>
      </c>
      <c r="DY65" s="114"/>
      <c r="DZ65" s="74" t="s">
        <v>779</v>
      </c>
      <c r="EA65" s="241" t="s">
        <v>780</v>
      </c>
    </row>
    <row r="66" spans="1:131" x14ac:dyDescent="0.4">
      <c r="A66" s="4" t="s">
        <v>40</v>
      </c>
      <c r="B66" s="5" t="s">
        <v>161</v>
      </c>
      <c r="C66" s="8">
        <v>35.880851999999997</v>
      </c>
      <c r="D66" s="8">
        <v>-106.674649</v>
      </c>
      <c r="E66" s="7" t="s">
        <v>46</v>
      </c>
      <c r="F66" s="5" t="s">
        <v>47</v>
      </c>
      <c r="G66" s="7"/>
      <c r="H66" s="4" t="s">
        <v>49</v>
      </c>
      <c r="I66" s="52"/>
      <c r="J66" s="53"/>
      <c r="K66" s="36"/>
      <c r="L66" s="38"/>
      <c r="M66" s="54">
        <v>0.05</v>
      </c>
      <c r="N66" s="55"/>
      <c r="O66" s="56">
        <v>0.05</v>
      </c>
      <c r="P66" s="59">
        <v>9.9999999999999998E-20</v>
      </c>
      <c r="Q66" s="36"/>
      <c r="R66" s="60">
        <f>AVERAGE(P66,Q66)</f>
        <v>9.9999999999999998E-20</v>
      </c>
      <c r="S66" s="54">
        <v>37.5</v>
      </c>
      <c r="T66" s="55"/>
      <c r="U66" s="56">
        <f>AVERAGE(S66,T66)</f>
        <v>37.5</v>
      </c>
      <c r="V66" s="55">
        <v>0.25</v>
      </c>
      <c r="W66" s="55"/>
      <c r="X66" s="56">
        <f>AVERAGE(V66,W66)</f>
        <v>0.25</v>
      </c>
      <c r="Y66" s="54">
        <v>25</v>
      </c>
      <c r="Z66" s="56"/>
      <c r="AA66" s="54">
        <v>15</v>
      </c>
      <c r="AB66" s="56"/>
      <c r="AC66" s="54">
        <v>0.4</v>
      </c>
      <c r="AD66" s="56"/>
      <c r="AE66" s="54"/>
      <c r="AF66" s="56"/>
      <c r="AG66" s="55"/>
      <c r="AH66" s="56"/>
      <c r="AI66" s="54"/>
      <c r="AJ66" s="56"/>
      <c r="AK66" s="55"/>
      <c r="AL66" s="56"/>
      <c r="AM66" s="54"/>
      <c r="AN66" s="56"/>
      <c r="AO66" s="59"/>
      <c r="AP66" s="60"/>
      <c r="AQ66" s="61"/>
      <c r="AR66" s="62"/>
      <c r="AS66" s="38" t="s">
        <v>552</v>
      </c>
      <c r="AT66" s="63">
        <v>2.5000000000000001E-2</v>
      </c>
      <c r="AU66" s="64">
        <v>0</v>
      </c>
      <c r="AV66" s="64">
        <f>PRODUCT(AT66,CU66)</f>
        <v>86.5</v>
      </c>
      <c r="AW66" s="53"/>
      <c r="AX66" s="65">
        <v>1.7500000000000002E-2</v>
      </c>
      <c r="AY66" s="64">
        <v>0</v>
      </c>
      <c r="AZ66" s="64">
        <f>PRODUCT(AX66,CU66)</f>
        <v>60.550000000000004</v>
      </c>
      <c r="BA66" s="53"/>
      <c r="BB66" s="63">
        <v>1.4999999999999999E-2</v>
      </c>
      <c r="BC66" s="64">
        <v>0</v>
      </c>
      <c r="BD66" s="64">
        <f>PRODUCT(BB66,CU66)</f>
        <v>51.9</v>
      </c>
      <c r="BE66" s="53"/>
      <c r="BF66" s="36" t="s">
        <v>781</v>
      </c>
      <c r="BG66" s="38" t="s">
        <v>782</v>
      </c>
      <c r="BH66" s="63">
        <v>0.01</v>
      </c>
      <c r="BI66" s="64">
        <v>0</v>
      </c>
      <c r="BJ66" s="64">
        <f>PRODUCT(BH66,CU66)</f>
        <v>34.6</v>
      </c>
      <c r="BK66" s="53"/>
      <c r="BL66" s="66">
        <v>240</v>
      </c>
      <c r="BM66" s="62"/>
      <c r="BN66" s="37" t="s">
        <v>783</v>
      </c>
      <c r="BO66" s="38"/>
      <c r="BP66" s="36">
        <v>76</v>
      </c>
      <c r="BQ66" s="38"/>
      <c r="BR66" s="37" t="s">
        <v>689</v>
      </c>
      <c r="BS66" s="38"/>
      <c r="BT66" s="35"/>
      <c r="BU66" s="38"/>
      <c r="BV66" s="66"/>
      <c r="BW66" s="62"/>
      <c r="BX66" s="66"/>
      <c r="BY66" s="62"/>
      <c r="BZ66" s="67"/>
      <c r="CA66" s="61"/>
      <c r="CB66" s="62"/>
      <c r="CC66" s="37"/>
      <c r="CD66" s="38"/>
      <c r="CE66" s="64"/>
      <c r="CF66" s="53"/>
      <c r="CG66" s="37"/>
      <c r="CH66" s="38"/>
      <c r="CI66" s="36"/>
      <c r="CJ66" s="38"/>
      <c r="CK66" s="37"/>
      <c r="CL66" s="38"/>
      <c r="CM66" s="36"/>
      <c r="CN66" s="38"/>
      <c r="CO66" s="37"/>
      <c r="CP66" s="38"/>
      <c r="CQ66" s="37"/>
      <c r="CR66" s="38"/>
      <c r="CS66" s="37"/>
      <c r="CT66" s="38"/>
      <c r="CU66" s="66">
        <v>3460</v>
      </c>
      <c r="CV66" s="61"/>
      <c r="CW66" s="35"/>
      <c r="CX66" s="68">
        <v>30651</v>
      </c>
      <c r="CY66" s="37" t="s">
        <v>603</v>
      </c>
      <c r="CZ66" s="35">
        <v>100</v>
      </c>
      <c r="DA66" s="60">
        <v>9.5600000000000004E-2</v>
      </c>
      <c r="DB66" s="69">
        <v>21600</v>
      </c>
      <c r="DC66" s="60"/>
      <c r="DD66" s="69"/>
      <c r="DE66" s="60"/>
      <c r="DF66" s="70">
        <v>48</v>
      </c>
      <c r="DG66" s="70"/>
      <c r="DH66" s="71"/>
      <c r="DI66" s="64"/>
      <c r="DJ66" s="35" t="s">
        <v>784</v>
      </c>
      <c r="DK66" s="61">
        <v>3245</v>
      </c>
      <c r="DL66" s="61">
        <v>3275</v>
      </c>
      <c r="DM66" s="72"/>
      <c r="DN66" s="64"/>
      <c r="DO66" s="72"/>
      <c r="DP66" s="64"/>
      <c r="DQ66" s="72"/>
      <c r="DR66" s="64"/>
      <c r="DS66" s="70">
        <v>1.3</v>
      </c>
      <c r="DT66" s="36"/>
      <c r="DU66" s="66"/>
      <c r="DV66" s="62">
        <v>3372</v>
      </c>
      <c r="DW66" s="62"/>
      <c r="DX66" s="73">
        <v>30317</v>
      </c>
      <c r="DY66" s="4"/>
      <c r="DZ66" s="74"/>
      <c r="EA66" s="241" t="s">
        <v>785</v>
      </c>
    </row>
    <row r="67" spans="1:131" x14ac:dyDescent="0.4">
      <c r="A67" s="4" t="s">
        <v>40</v>
      </c>
      <c r="B67" s="5" t="s">
        <v>162</v>
      </c>
      <c r="C67" s="8">
        <v>43.726024000000002</v>
      </c>
      <c r="D67" s="8">
        <v>-121.316311</v>
      </c>
      <c r="E67" s="7" t="s">
        <v>46</v>
      </c>
      <c r="F67" s="5" t="s">
        <v>47</v>
      </c>
      <c r="G67" s="7" t="s">
        <v>163</v>
      </c>
      <c r="H67" s="4" t="s">
        <v>111</v>
      </c>
      <c r="I67" s="52"/>
      <c r="J67" s="53"/>
      <c r="K67" s="36"/>
      <c r="L67" s="38"/>
      <c r="M67" s="54">
        <v>0.03</v>
      </c>
      <c r="N67" s="55"/>
      <c r="O67" s="56">
        <f>AVERAGE(M67,N67)</f>
        <v>0.03</v>
      </c>
      <c r="P67" s="59">
        <v>5.0000000000000004E-18</v>
      </c>
      <c r="Q67" s="36"/>
      <c r="R67" s="60">
        <f>AVERAGE(P67,Q67)</f>
        <v>5.0000000000000004E-18</v>
      </c>
      <c r="S67" s="54">
        <v>15</v>
      </c>
      <c r="T67" s="55"/>
      <c r="U67" s="56">
        <f>AVERAGE(S67,T67)</f>
        <v>15</v>
      </c>
      <c r="V67" s="55">
        <v>0.28000000000000003</v>
      </c>
      <c r="W67" s="55"/>
      <c r="X67" s="56">
        <f>AVERAGE(V67,W67)</f>
        <v>0.28000000000000003</v>
      </c>
      <c r="Y67" s="54">
        <v>11.36</v>
      </c>
      <c r="Z67" s="56"/>
      <c r="AA67" s="54">
        <v>5.86</v>
      </c>
      <c r="AB67" s="56"/>
      <c r="AC67" s="54">
        <v>0.97</v>
      </c>
      <c r="AD67" s="56"/>
      <c r="AE67" s="54">
        <v>26.3</v>
      </c>
      <c r="AF67" s="56">
        <v>45.1</v>
      </c>
      <c r="AG67" s="55">
        <v>15</v>
      </c>
      <c r="AH67" s="56">
        <v>27</v>
      </c>
      <c r="AI67" s="54">
        <v>57</v>
      </c>
      <c r="AJ67" s="56">
        <v>122</v>
      </c>
      <c r="AK67" s="55"/>
      <c r="AL67" s="56"/>
      <c r="AM67" s="54">
        <v>2.2000000000000002</v>
      </c>
      <c r="AN67" s="56"/>
      <c r="AO67" s="59">
        <v>8.9999999999999996E-7</v>
      </c>
      <c r="AP67" s="60"/>
      <c r="AQ67" s="61"/>
      <c r="AR67" s="62"/>
      <c r="AS67" s="38" t="s">
        <v>545</v>
      </c>
      <c r="AT67" s="63">
        <v>2.41E-2</v>
      </c>
      <c r="AU67" s="64">
        <v>0</v>
      </c>
      <c r="AV67" s="64">
        <f>PRODUCT(AT67,CU67)+AU67</f>
        <v>73.890600000000006</v>
      </c>
      <c r="AW67" s="53"/>
      <c r="AX67" s="65">
        <v>2.35E-2</v>
      </c>
      <c r="AY67" s="64">
        <v>0</v>
      </c>
      <c r="AZ67" s="64">
        <f>PRODUCT(AX67,CU67)+AY67</f>
        <v>72.051000000000002</v>
      </c>
      <c r="BA67" s="53"/>
      <c r="BB67" s="63">
        <v>1.49E-2</v>
      </c>
      <c r="BC67" s="64">
        <v>0</v>
      </c>
      <c r="BD67" s="64">
        <f>PRODUCT(BB67,CU67)+BC67</f>
        <v>45.683399999999999</v>
      </c>
      <c r="BE67" s="53"/>
      <c r="BF67" s="37" t="s">
        <v>786</v>
      </c>
      <c r="BG67" s="38"/>
      <c r="BH67" s="63">
        <v>8.8000000000000005E-3</v>
      </c>
      <c r="BI67" s="64">
        <v>0</v>
      </c>
      <c r="BJ67" s="64">
        <f>PRODUCT(BH67,CU67)</f>
        <v>26.980800000000002</v>
      </c>
      <c r="BK67" s="53"/>
      <c r="BL67" s="61">
        <v>315</v>
      </c>
      <c r="BM67" s="62"/>
      <c r="BN67" s="37" t="s">
        <v>536</v>
      </c>
      <c r="BO67" s="38"/>
      <c r="BP67" s="36"/>
      <c r="BQ67" s="38"/>
      <c r="BR67" s="37"/>
      <c r="BS67" s="38"/>
      <c r="BT67" s="35"/>
      <c r="BU67" s="38"/>
      <c r="BV67" s="66"/>
      <c r="BW67" s="62"/>
      <c r="BX67" s="66"/>
      <c r="BY67" s="62"/>
      <c r="BZ67" s="67"/>
      <c r="CA67" s="61"/>
      <c r="CB67" s="62"/>
      <c r="CC67" s="37"/>
      <c r="CD67" s="38"/>
      <c r="CE67" s="64"/>
      <c r="CF67" s="53"/>
      <c r="CG67" s="37"/>
      <c r="CH67" s="38"/>
      <c r="CI67" s="36"/>
      <c r="CJ67" s="38"/>
      <c r="CK67" s="37"/>
      <c r="CL67" s="38"/>
      <c r="CM67" s="36"/>
      <c r="CN67" s="38"/>
      <c r="CO67" s="37"/>
      <c r="CP67" s="38"/>
      <c r="CQ67" s="37"/>
      <c r="CR67" s="38"/>
      <c r="CS67" s="37"/>
      <c r="CT67" s="38"/>
      <c r="CU67" s="66">
        <v>3066</v>
      </c>
      <c r="CV67" s="61"/>
      <c r="CW67" s="35"/>
      <c r="CX67" s="68">
        <v>41199</v>
      </c>
      <c r="CY67" s="37" t="s">
        <v>597</v>
      </c>
      <c r="CZ67" s="35"/>
      <c r="DA67" s="60">
        <v>2.4E-2</v>
      </c>
      <c r="DB67" s="69">
        <v>41325</v>
      </c>
      <c r="DC67" s="60"/>
      <c r="DD67" s="69"/>
      <c r="DE67" s="60"/>
      <c r="DF67" s="70">
        <v>16.7</v>
      </c>
      <c r="DG67" s="70"/>
      <c r="DH67" s="71">
        <v>41211</v>
      </c>
      <c r="DI67" s="64"/>
      <c r="DJ67" s="35" t="s">
        <v>787</v>
      </c>
      <c r="DK67" s="61">
        <v>500</v>
      </c>
      <c r="DL67" s="61">
        <v>3500</v>
      </c>
      <c r="DM67" s="72"/>
      <c r="DN67" s="64"/>
      <c r="DO67" s="72"/>
      <c r="DP67" s="64">
        <v>1.07</v>
      </c>
      <c r="DQ67" s="72"/>
      <c r="DR67" s="64"/>
      <c r="DS67" s="70">
        <v>2.39</v>
      </c>
      <c r="DT67" s="36" t="s">
        <v>541</v>
      </c>
      <c r="DU67" s="66"/>
      <c r="DV67" s="62"/>
      <c r="DW67" s="62"/>
      <c r="DX67" s="73">
        <v>41250</v>
      </c>
      <c r="DY67" s="114"/>
      <c r="DZ67" s="74" t="s">
        <v>788</v>
      </c>
      <c r="EA67" s="241" t="s">
        <v>789</v>
      </c>
    </row>
    <row r="68" spans="1:131" x14ac:dyDescent="0.4">
      <c r="A68" s="4" t="s">
        <v>40</v>
      </c>
      <c r="B68" s="5" t="s">
        <v>164</v>
      </c>
      <c r="C68" s="8">
        <v>33.163423999999999</v>
      </c>
      <c r="D68" s="8">
        <v>-115.61669999999999</v>
      </c>
      <c r="E68" s="7" t="s">
        <v>46</v>
      </c>
      <c r="F68" s="5" t="s">
        <v>92</v>
      </c>
      <c r="G68" s="7"/>
      <c r="H68" s="4" t="s">
        <v>165</v>
      </c>
      <c r="I68" s="52"/>
      <c r="J68" s="53"/>
      <c r="K68" s="36"/>
      <c r="L68" s="38"/>
      <c r="M68" s="54"/>
      <c r="N68" s="55"/>
      <c r="O68" s="56"/>
      <c r="P68" s="36"/>
      <c r="Q68" s="36"/>
      <c r="R68" s="58"/>
      <c r="S68" s="54"/>
      <c r="T68" s="55"/>
      <c r="U68" s="102"/>
      <c r="V68" s="55"/>
      <c r="W68" s="55"/>
      <c r="X68" s="56"/>
      <c r="Y68" s="54"/>
      <c r="Z68" s="56"/>
      <c r="AA68" s="54"/>
      <c r="AB68" s="56"/>
      <c r="AC68" s="54"/>
      <c r="AD68" s="56"/>
      <c r="AE68" s="54"/>
      <c r="AF68" s="56"/>
      <c r="AG68" s="55"/>
      <c r="AH68" s="56"/>
      <c r="AI68" s="54"/>
      <c r="AJ68" s="56"/>
      <c r="AK68" s="55"/>
      <c r="AL68" s="56"/>
      <c r="AM68" s="54"/>
      <c r="AN68" s="56"/>
      <c r="AO68" s="59"/>
      <c r="AP68" s="60"/>
      <c r="AQ68" s="61"/>
      <c r="AR68" s="62">
        <v>5500</v>
      </c>
      <c r="AS68" s="38" t="s">
        <v>790</v>
      </c>
      <c r="AT68" s="63"/>
      <c r="AU68" s="64"/>
      <c r="AV68" s="64"/>
      <c r="AW68" s="53"/>
      <c r="AX68" s="65"/>
      <c r="AY68" s="64"/>
      <c r="AZ68" s="64"/>
      <c r="BA68" s="53"/>
      <c r="BB68" s="63"/>
      <c r="BC68" s="64"/>
      <c r="BD68" s="64"/>
      <c r="BE68" s="53"/>
      <c r="BF68" s="36"/>
      <c r="BG68" s="38"/>
      <c r="BH68" s="63"/>
      <c r="BI68" s="64"/>
      <c r="BJ68" s="64"/>
      <c r="BK68" s="53"/>
      <c r="BL68" s="66"/>
      <c r="BM68" s="62">
        <v>390</v>
      </c>
      <c r="BN68" s="37"/>
      <c r="BO68" s="38"/>
      <c r="BP68" s="36"/>
      <c r="BQ68" s="38"/>
      <c r="BR68" s="37"/>
      <c r="BS68" s="38"/>
      <c r="BT68" s="35"/>
      <c r="BU68" s="38"/>
      <c r="BV68" s="66"/>
      <c r="BW68" s="62"/>
      <c r="BX68" s="66"/>
      <c r="BY68" s="62"/>
      <c r="BZ68" s="67"/>
      <c r="CA68" s="61"/>
      <c r="CB68" s="62"/>
      <c r="CC68" s="37"/>
      <c r="CD68" s="38"/>
      <c r="CE68" s="64"/>
      <c r="CF68" s="53"/>
      <c r="CG68" s="37"/>
      <c r="CH68" s="38"/>
      <c r="CI68" s="36"/>
      <c r="CJ68" s="38"/>
      <c r="CK68" s="37"/>
      <c r="CL68" s="38"/>
      <c r="CM68" s="36"/>
      <c r="CN68" s="38"/>
      <c r="CO68" s="37"/>
      <c r="CP68" s="38"/>
      <c r="CQ68" s="37"/>
      <c r="CR68" s="38"/>
      <c r="CS68" s="37"/>
      <c r="CT68" s="38"/>
      <c r="CU68" s="66">
        <v>2000</v>
      </c>
      <c r="CV68" s="61"/>
      <c r="CW68" s="35"/>
      <c r="CX68" s="68">
        <v>29952</v>
      </c>
      <c r="CY68" s="37"/>
      <c r="CZ68" s="35"/>
      <c r="DA68" s="60">
        <v>3.8114949999999999</v>
      </c>
      <c r="DB68" s="69">
        <v>2341357797</v>
      </c>
      <c r="DC68" s="60"/>
      <c r="DD68" s="69">
        <v>-400000000</v>
      </c>
      <c r="DE68" s="60"/>
      <c r="DF68" s="70"/>
      <c r="DG68" s="70"/>
      <c r="DH68" s="71"/>
      <c r="DI68" s="64"/>
      <c r="DJ68" s="35"/>
      <c r="DK68" s="61"/>
      <c r="DL68" s="61"/>
      <c r="DM68" s="72"/>
      <c r="DN68" s="64"/>
      <c r="DO68" s="72"/>
      <c r="DP68" s="64"/>
      <c r="DQ68" s="72"/>
      <c r="DR68" s="64"/>
      <c r="DS68" s="70">
        <v>5.0999999999999996</v>
      </c>
      <c r="DT68" s="36" t="s">
        <v>541</v>
      </c>
      <c r="DU68" s="66"/>
      <c r="DV68" s="62"/>
      <c r="DW68" s="62"/>
      <c r="DX68" s="73">
        <v>38353</v>
      </c>
      <c r="DY68" s="4"/>
      <c r="DZ68" s="74" t="s">
        <v>791</v>
      </c>
      <c r="EA68" s="241" t="s">
        <v>792</v>
      </c>
    </row>
    <row r="69" spans="1:131" x14ac:dyDescent="0.4">
      <c r="A69" s="10" t="s">
        <v>40</v>
      </c>
      <c r="B69" s="24" t="s">
        <v>166</v>
      </c>
      <c r="C69" s="12">
        <v>38.779057999999999</v>
      </c>
      <c r="D69" s="12">
        <v>-122.75414499999999</v>
      </c>
      <c r="E69" s="13" t="s">
        <v>46</v>
      </c>
      <c r="F69" s="11" t="s">
        <v>92</v>
      </c>
      <c r="G69" s="13"/>
      <c r="H69" s="10" t="s">
        <v>167</v>
      </c>
      <c r="I69" s="77"/>
      <c r="J69" s="78"/>
      <c r="K69" s="44"/>
      <c r="L69" s="43"/>
      <c r="M69" s="148">
        <v>4.0000000000000001E-3</v>
      </c>
      <c r="N69" s="80"/>
      <c r="O69" s="81">
        <v>4.0000000000000001E-3</v>
      </c>
      <c r="P69" s="149">
        <v>2.0000000000000002E-15</v>
      </c>
      <c r="Q69" s="149">
        <v>5.0000000000000002E-14</v>
      </c>
      <c r="R69" s="83">
        <f>AVERAGE(P69,Q69)</f>
        <v>2.6E-14</v>
      </c>
      <c r="S69" s="148">
        <v>24</v>
      </c>
      <c r="T69" s="150">
        <v>51</v>
      </c>
      <c r="U69" s="151">
        <f>AVERAGE(S69,T69)</f>
        <v>37.5</v>
      </c>
      <c r="V69" s="150">
        <v>0.25</v>
      </c>
      <c r="W69" s="80"/>
      <c r="X69" s="81">
        <f>AVERAGE(V69,W69)</f>
        <v>0.25</v>
      </c>
      <c r="Y69" s="79">
        <f>S69/(3*(1-2*V69))</f>
        <v>16</v>
      </c>
      <c r="Z69" s="81">
        <f>T69/(3*(1-2*W69))</f>
        <v>17</v>
      </c>
      <c r="AA69" s="79">
        <f>S69/(2*(1+V69))</f>
        <v>9.6</v>
      </c>
      <c r="AB69" s="81">
        <f>T69/(2*(1+W69))</f>
        <v>25.5</v>
      </c>
      <c r="AC69" s="79"/>
      <c r="AD69" s="81"/>
      <c r="AE69" s="79"/>
      <c r="AF69" s="81"/>
      <c r="AG69" s="80"/>
      <c r="AH69" s="81"/>
      <c r="AI69" s="79"/>
      <c r="AJ69" s="81"/>
      <c r="AK69" s="80"/>
      <c r="AL69" s="81"/>
      <c r="AM69" s="148">
        <v>3.2</v>
      </c>
      <c r="AN69" s="81"/>
      <c r="AO69" s="149">
        <v>1.0000000000000001E-5</v>
      </c>
      <c r="AP69" s="84"/>
      <c r="AQ69" s="85"/>
      <c r="AR69" s="152">
        <v>3300</v>
      </c>
      <c r="AS69" s="45" t="s">
        <v>790</v>
      </c>
      <c r="AT69" s="153">
        <v>2.5499999999999998E-2</v>
      </c>
      <c r="AU69" s="154">
        <v>0</v>
      </c>
      <c r="AV69" s="88"/>
      <c r="AW69" s="78">
        <f>PRODUCT(AT69,CV69)</f>
        <v>76.5</v>
      </c>
      <c r="AX69" s="155">
        <v>1.34E-2</v>
      </c>
      <c r="AY69" s="154">
        <v>0</v>
      </c>
      <c r="AZ69" s="88"/>
      <c r="BA69" s="78">
        <f>PRODUCT(AX69,CV69)</f>
        <v>40.200000000000003</v>
      </c>
      <c r="BB69" s="153">
        <v>6.8599999999999998E-3</v>
      </c>
      <c r="BC69" s="154">
        <v>0</v>
      </c>
      <c r="BD69" s="88"/>
      <c r="BE69" s="78">
        <f>PRODUCT(BB69,CV69)</f>
        <v>20.58</v>
      </c>
      <c r="BF69" s="44" t="s">
        <v>558</v>
      </c>
      <c r="BG69" s="43"/>
      <c r="BH69" s="153">
        <v>1.9599999999999999E-3</v>
      </c>
      <c r="BI69" s="154">
        <v>0</v>
      </c>
      <c r="BJ69" s="88"/>
      <c r="BK69" s="78">
        <f>PRODUCT(BH69,CV69)</f>
        <v>5.88</v>
      </c>
      <c r="BL69" s="90">
        <v>240</v>
      </c>
      <c r="BM69" s="152">
        <v>400</v>
      </c>
      <c r="BN69" s="47" t="s">
        <v>607</v>
      </c>
      <c r="BO69" s="43"/>
      <c r="BP69" s="42"/>
      <c r="BQ69" s="43"/>
      <c r="BR69" s="40"/>
      <c r="BS69" s="43"/>
      <c r="BT69" s="3"/>
      <c r="BU69" s="43"/>
      <c r="BV69" s="90"/>
      <c r="BW69" s="86"/>
      <c r="BX69" s="90"/>
      <c r="BY69" s="86"/>
      <c r="BZ69" s="91"/>
      <c r="CA69" s="85"/>
      <c r="CB69" s="86"/>
      <c r="CC69" s="40"/>
      <c r="CD69" s="43"/>
      <c r="CE69" s="88"/>
      <c r="CF69" s="78"/>
      <c r="CG69" s="156">
        <v>5E-15</v>
      </c>
      <c r="CH69" s="83">
        <v>1E-13</v>
      </c>
      <c r="CI69" s="42"/>
      <c r="CJ69" s="43"/>
      <c r="CK69" s="40"/>
      <c r="CL69" s="43"/>
      <c r="CM69" s="42"/>
      <c r="CN69" s="43"/>
      <c r="CO69" s="40"/>
      <c r="CP69" s="43"/>
      <c r="CQ69" s="40"/>
      <c r="CR69" s="43"/>
      <c r="CS69" s="40"/>
      <c r="CT69" s="43"/>
      <c r="CU69" s="90"/>
      <c r="CV69" s="157">
        <v>3000</v>
      </c>
      <c r="CW69" s="3"/>
      <c r="CX69" s="92">
        <v>21916</v>
      </c>
      <c r="CY69" s="40"/>
      <c r="CZ69" s="3"/>
      <c r="DA69" s="84">
        <v>2.612301</v>
      </c>
      <c r="DB69" s="93">
        <v>1271141319</v>
      </c>
      <c r="DC69" s="84"/>
      <c r="DD69" s="156">
        <v>-1500000000</v>
      </c>
      <c r="DE69" s="84"/>
      <c r="DF69" s="158">
        <v>0.1</v>
      </c>
      <c r="DG69" s="94"/>
      <c r="DH69" s="95"/>
      <c r="DI69" s="88"/>
      <c r="DJ69" s="159" t="s">
        <v>793</v>
      </c>
      <c r="DK69" s="85">
        <v>0</v>
      </c>
      <c r="DL69" s="157">
        <v>5000</v>
      </c>
      <c r="DM69" s="96"/>
      <c r="DN69" s="88"/>
      <c r="DO69" s="96"/>
      <c r="DP69" s="154">
        <v>1.69</v>
      </c>
      <c r="DQ69" s="96"/>
      <c r="DR69" s="88"/>
      <c r="DS69" s="158">
        <v>5</v>
      </c>
      <c r="DT69" s="44" t="s">
        <v>541</v>
      </c>
      <c r="DU69" s="90"/>
      <c r="DV69" s="86"/>
      <c r="DW69" s="86"/>
      <c r="DX69" s="160">
        <v>42718</v>
      </c>
      <c r="DY69" s="10"/>
      <c r="DZ69" s="161" t="s">
        <v>794</v>
      </c>
      <c r="EA69" s="242" t="s">
        <v>1088</v>
      </c>
    </row>
    <row r="70" spans="1:131" x14ac:dyDescent="0.4">
      <c r="A70" s="4" t="s">
        <v>168</v>
      </c>
      <c r="B70" s="5" t="s">
        <v>169</v>
      </c>
      <c r="C70" s="8">
        <v>57.012999999999998</v>
      </c>
      <c r="D70" s="8">
        <v>-122.154</v>
      </c>
      <c r="E70" s="7" t="s">
        <v>170</v>
      </c>
      <c r="F70" s="5" t="s">
        <v>171</v>
      </c>
      <c r="G70" s="7" t="s">
        <v>172</v>
      </c>
      <c r="H70" s="4" t="s">
        <v>173</v>
      </c>
      <c r="I70" s="52"/>
      <c r="J70" s="53"/>
      <c r="K70" s="36"/>
      <c r="L70" s="38">
        <v>2500</v>
      </c>
      <c r="M70" s="54"/>
      <c r="N70" s="55"/>
      <c r="O70" s="56">
        <v>0.1</v>
      </c>
      <c r="P70" s="36"/>
      <c r="Q70" s="59"/>
      <c r="R70" s="60">
        <v>1.0000000000000001E-18</v>
      </c>
      <c r="S70" s="54"/>
      <c r="T70" s="55"/>
      <c r="U70" s="56">
        <v>47</v>
      </c>
      <c r="V70" s="55"/>
      <c r="W70" s="55"/>
      <c r="X70" s="56">
        <v>0.26</v>
      </c>
      <c r="Y70" s="54"/>
      <c r="Z70" s="56"/>
      <c r="AA70" s="54"/>
      <c r="AB70" s="56"/>
      <c r="AC70" s="54"/>
      <c r="AD70" s="56">
        <v>0.8</v>
      </c>
      <c r="AE70" s="54"/>
      <c r="AF70" s="56"/>
      <c r="AG70" s="55"/>
      <c r="AH70" s="56"/>
      <c r="AI70" s="54"/>
      <c r="AJ70" s="56"/>
      <c r="AK70" s="55"/>
      <c r="AL70" s="56"/>
      <c r="AM70" s="54"/>
      <c r="AN70" s="56"/>
      <c r="AO70" s="59"/>
      <c r="AP70" s="60"/>
      <c r="AQ70" s="61"/>
      <c r="AR70" s="62">
        <v>3100</v>
      </c>
      <c r="AS70" s="38" t="s">
        <v>535</v>
      </c>
      <c r="AT70" s="63">
        <v>2.5100000000000001E-2</v>
      </c>
      <c r="AU70" s="64">
        <v>0</v>
      </c>
      <c r="AV70" s="64"/>
      <c r="AW70" s="53">
        <f>PRODUCT(AT70,CV70)</f>
        <v>47.690000000000005</v>
      </c>
      <c r="AX70" s="65">
        <v>3.3000000000000002E-2</v>
      </c>
      <c r="AY70" s="64">
        <v>0</v>
      </c>
      <c r="AZ70" s="64"/>
      <c r="BA70" s="53">
        <f>PRODUCT(AX70,CV70)+AY70</f>
        <v>62.7</v>
      </c>
      <c r="BB70" s="63">
        <v>1.9E-2</v>
      </c>
      <c r="BC70" s="64">
        <v>0</v>
      </c>
      <c r="BD70" s="64"/>
      <c r="BE70" s="53">
        <f>PRODUCT(BB70,CV70)</f>
        <v>36.1</v>
      </c>
      <c r="BF70" s="36" t="s">
        <v>698</v>
      </c>
      <c r="BG70" s="38"/>
      <c r="BH70" s="63">
        <v>1.2E-2</v>
      </c>
      <c r="BI70" s="64">
        <v>0</v>
      </c>
      <c r="BJ70" s="64"/>
      <c r="BK70" s="53">
        <f>BH70*CV70+BI70</f>
        <v>22.8</v>
      </c>
      <c r="BL70" s="66"/>
      <c r="BM70" s="62"/>
      <c r="BN70" s="37" t="s">
        <v>795</v>
      </c>
      <c r="BO70" s="38"/>
      <c r="BP70" s="36"/>
      <c r="BQ70" s="38">
        <v>37</v>
      </c>
      <c r="BR70" s="37"/>
      <c r="BS70" s="38"/>
      <c r="BT70" s="35"/>
      <c r="BU70" s="38" t="s">
        <v>796</v>
      </c>
      <c r="BV70" s="66"/>
      <c r="BW70" s="62"/>
      <c r="BX70" s="66"/>
      <c r="BY70" s="62"/>
      <c r="BZ70" s="67"/>
      <c r="CA70" s="61"/>
      <c r="CB70" s="62"/>
      <c r="CC70" s="37"/>
      <c r="CD70" s="38"/>
      <c r="CE70" s="64"/>
      <c r="CF70" s="53"/>
      <c r="CG70" s="37"/>
      <c r="CH70" s="38"/>
      <c r="CI70" s="36"/>
      <c r="CJ70" s="38">
        <v>109</v>
      </c>
      <c r="CK70" s="37"/>
      <c r="CL70" s="38">
        <v>36</v>
      </c>
      <c r="CM70" s="36"/>
      <c r="CN70" s="38"/>
      <c r="CO70" s="37"/>
      <c r="CP70" s="38"/>
      <c r="CQ70" s="37"/>
      <c r="CR70" s="38"/>
      <c r="CS70" s="37"/>
      <c r="CT70" s="38">
        <v>42</v>
      </c>
      <c r="CU70" s="162"/>
      <c r="CV70" s="61">
        <v>1900</v>
      </c>
      <c r="CW70" s="35"/>
      <c r="CX70" s="68">
        <v>42227</v>
      </c>
      <c r="CY70" s="37" t="s">
        <v>797</v>
      </c>
      <c r="CZ70" s="35"/>
      <c r="DA70" s="60">
        <v>0.2</v>
      </c>
      <c r="DB70" s="69">
        <v>65000</v>
      </c>
      <c r="DC70" s="60"/>
      <c r="DD70" s="69"/>
      <c r="DE70" s="60"/>
      <c r="DF70" s="70"/>
      <c r="DG70" s="70"/>
      <c r="DH70" s="71">
        <v>42227</v>
      </c>
      <c r="DI70" s="64">
        <v>0</v>
      </c>
      <c r="DJ70" s="35">
        <v>191</v>
      </c>
      <c r="DK70" s="61">
        <v>500</v>
      </c>
      <c r="DL70" s="61">
        <v>2500</v>
      </c>
      <c r="DM70" s="72"/>
      <c r="DN70" s="64"/>
      <c r="DO70" s="72"/>
      <c r="DP70" s="64">
        <v>0.78</v>
      </c>
      <c r="DQ70" s="72"/>
      <c r="DR70" s="64"/>
      <c r="DS70" s="70">
        <v>4.5999999999999996</v>
      </c>
      <c r="DT70" s="36" t="s">
        <v>541</v>
      </c>
      <c r="DU70" s="66">
        <v>1300</v>
      </c>
      <c r="DV70" s="62">
        <v>4000</v>
      </c>
      <c r="DW70" s="62">
        <v>1500</v>
      </c>
      <c r="DX70" s="73">
        <v>42233</v>
      </c>
      <c r="DY70" s="4" t="s">
        <v>798</v>
      </c>
      <c r="DZ70" s="74" t="s">
        <v>799</v>
      </c>
      <c r="EA70" s="241" t="s">
        <v>1089</v>
      </c>
    </row>
    <row r="71" spans="1:131" x14ac:dyDescent="0.4">
      <c r="A71" s="16" t="s">
        <v>168</v>
      </c>
      <c r="B71" s="4" t="s">
        <v>174</v>
      </c>
      <c r="C71" s="8">
        <v>56.100310999999998</v>
      </c>
      <c r="D71" s="8">
        <v>-120.899253</v>
      </c>
      <c r="E71" s="7" t="s">
        <v>170</v>
      </c>
      <c r="F71" s="7" t="s">
        <v>171</v>
      </c>
      <c r="G71" s="7" t="s">
        <v>172</v>
      </c>
      <c r="H71" s="16" t="s">
        <v>173</v>
      </c>
      <c r="I71" s="52"/>
      <c r="J71" s="53"/>
      <c r="K71" s="36"/>
      <c r="L71" s="38">
        <v>2500</v>
      </c>
      <c r="M71" s="55"/>
      <c r="N71" s="55"/>
      <c r="O71" s="56">
        <v>0.1</v>
      </c>
      <c r="P71" s="36"/>
      <c r="Q71" s="59"/>
      <c r="R71" s="60">
        <v>1.0000000000000001E-18</v>
      </c>
      <c r="S71" s="55"/>
      <c r="T71" s="55"/>
      <c r="U71" s="56">
        <v>47</v>
      </c>
      <c r="V71" s="55"/>
      <c r="W71" s="55"/>
      <c r="X71" s="56">
        <v>0.26</v>
      </c>
      <c r="Y71" s="55"/>
      <c r="Z71" s="56"/>
      <c r="AA71" s="55"/>
      <c r="AB71" s="56"/>
      <c r="AC71" s="55"/>
      <c r="AD71" s="56">
        <v>0.8</v>
      </c>
      <c r="AE71" s="55"/>
      <c r="AF71" s="56"/>
      <c r="AG71" s="55"/>
      <c r="AH71" s="56"/>
      <c r="AI71" s="55"/>
      <c r="AJ71" s="56"/>
      <c r="AK71" s="55"/>
      <c r="AL71" s="56"/>
      <c r="AM71" s="55"/>
      <c r="AN71" s="56"/>
      <c r="AO71" s="59"/>
      <c r="AP71" s="60"/>
      <c r="AQ71" s="61"/>
      <c r="AR71" s="62">
        <v>3500</v>
      </c>
      <c r="AS71" s="38" t="s">
        <v>535</v>
      </c>
      <c r="AT71" s="63">
        <v>2.5100000000000001E-2</v>
      </c>
      <c r="AU71" s="64">
        <v>0</v>
      </c>
      <c r="AV71" s="64"/>
      <c r="AW71" s="53">
        <f>PRODUCT(AT71,CV71)</f>
        <v>62.75</v>
      </c>
      <c r="AX71" s="63">
        <v>3.3000000000000002E-2</v>
      </c>
      <c r="AY71" s="64">
        <v>0</v>
      </c>
      <c r="AZ71" s="64"/>
      <c r="BA71" s="53">
        <f>PRODUCT(AX71,CV71)+AY71</f>
        <v>82.5</v>
      </c>
      <c r="BB71" s="63">
        <v>1.9E-2</v>
      </c>
      <c r="BC71" s="64">
        <v>0</v>
      </c>
      <c r="BD71" s="64"/>
      <c r="BE71" s="53">
        <f>PRODUCT(BB71,CV71)</f>
        <v>47.5</v>
      </c>
      <c r="BF71" s="36" t="s">
        <v>698</v>
      </c>
      <c r="BG71" s="38"/>
      <c r="BH71" s="63">
        <v>1.2E-2</v>
      </c>
      <c r="BI71" s="64">
        <v>0</v>
      </c>
      <c r="BJ71" s="64"/>
      <c r="BK71" s="53">
        <f>BH71*CV71+BI71</f>
        <v>30</v>
      </c>
      <c r="BL71" s="61"/>
      <c r="BM71" s="62"/>
      <c r="BN71" s="36" t="s">
        <v>800</v>
      </c>
      <c r="BO71" s="38"/>
      <c r="BP71" s="36"/>
      <c r="BQ71" s="38"/>
      <c r="BR71" s="36"/>
      <c r="BS71" s="38"/>
      <c r="BT71" s="38"/>
      <c r="BU71" s="38" t="s">
        <v>577</v>
      </c>
      <c r="BV71" s="61"/>
      <c r="BW71" s="62"/>
      <c r="BX71" s="61"/>
      <c r="BY71" s="62"/>
      <c r="BZ71" s="62"/>
      <c r="CA71" s="61"/>
      <c r="CB71" s="62"/>
      <c r="CC71" s="36"/>
      <c r="CD71" s="38"/>
      <c r="CE71" s="64"/>
      <c r="CF71" s="53"/>
      <c r="CG71" s="36"/>
      <c r="CH71" s="38"/>
      <c r="CI71" s="36"/>
      <c r="CJ71" s="38">
        <v>109</v>
      </c>
      <c r="CK71" s="36"/>
      <c r="CL71" s="38">
        <v>36</v>
      </c>
      <c r="CM71" s="36"/>
      <c r="CN71" s="38"/>
      <c r="CO71" s="36"/>
      <c r="CP71" s="38"/>
      <c r="CQ71" s="36"/>
      <c r="CR71" s="38"/>
      <c r="CS71" s="36"/>
      <c r="CT71" s="38">
        <v>42</v>
      </c>
      <c r="CU71" s="61"/>
      <c r="CV71" s="62">
        <v>2500</v>
      </c>
      <c r="CW71" s="38"/>
      <c r="CX71" s="145">
        <v>43432</v>
      </c>
      <c r="CY71" s="38" t="s">
        <v>797</v>
      </c>
      <c r="CZ71" s="38"/>
      <c r="DA71" s="60"/>
      <c r="DB71" s="59">
        <v>14000</v>
      </c>
      <c r="DC71" s="60"/>
      <c r="DD71" s="59"/>
      <c r="DE71" s="60"/>
      <c r="DF71" s="53"/>
      <c r="DG71" s="53"/>
      <c r="DH71" s="146">
        <v>43432</v>
      </c>
      <c r="DI71" s="53">
        <v>0</v>
      </c>
      <c r="DJ71" s="38">
        <v>270</v>
      </c>
      <c r="DK71" s="61"/>
      <c r="DL71" s="61"/>
      <c r="DM71" s="72"/>
      <c r="DN71" s="64"/>
      <c r="DO71" s="72"/>
      <c r="DP71" s="64"/>
      <c r="DQ71" s="72"/>
      <c r="DR71" s="53"/>
      <c r="DS71" s="53">
        <v>4.5</v>
      </c>
      <c r="DT71" s="38" t="s">
        <v>581</v>
      </c>
      <c r="DU71" s="61"/>
      <c r="DV71" s="62">
        <v>4500</v>
      </c>
      <c r="DW71" s="62">
        <v>2100</v>
      </c>
      <c r="DX71" s="113">
        <v>43434</v>
      </c>
      <c r="DY71" s="4" t="s">
        <v>801</v>
      </c>
      <c r="DZ71" s="74" t="s">
        <v>802</v>
      </c>
      <c r="EA71" s="241" t="s">
        <v>1085</v>
      </c>
    </row>
    <row r="72" spans="1:131" x14ac:dyDescent="0.4">
      <c r="A72" s="16" t="s">
        <v>168</v>
      </c>
      <c r="B72" s="4" t="s">
        <v>175</v>
      </c>
      <c r="C72" s="8">
        <v>56.236477999999998</v>
      </c>
      <c r="D72" s="8">
        <v>-122.06202399999999</v>
      </c>
      <c r="E72" s="7" t="s">
        <v>170</v>
      </c>
      <c r="F72" s="5" t="s">
        <v>171</v>
      </c>
      <c r="G72" s="7" t="s">
        <v>176</v>
      </c>
      <c r="H72" s="4" t="s">
        <v>173</v>
      </c>
      <c r="I72" s="52"/>
      <c r="J72" s="53"/>
      <c r="K72" s="36">
        <v>2615</v>
      </c>
      <c r="L72" s="38">
        <v>2615</v>
      </c>
      <c r="M72" s="55">
        <v>0.03</v>
      </c>
      <c r="N72" s="55">
        <v>0.06</v>
      </c>
      <c r="O72" s="56">
        <f>AVERAGE(M72,N72)</f>
        <v>4.4999999999999998E-2</v>
      </c>
      <c r="P72" s="59">
        <v>9.8599999999999999E-19</v>
      </c>
      <c r="Q72" s="59">
        <v>4.9300000000000001E-17</v>
      </c>
      <c r="R72" s="60">
        <f>AVERAGE(Q72,P72)</f>
        <v>2.5142999999999999E-17</v>
      </c>
      <c r="S72" s="55"/>
      <c r="T72" s="55"/>
      <c r="U72" s="56">
        <v>26.1</v>
      </c>
      <c r="V72" s="55"/>
      <c r="W72" s="55"/>
      <c r="X72" s="56">
        <v>0.22</v>
      </c>
      <c r="Y72" s="55"/>
      <c r="Z72" s="56"/>
      <c r="AA72" s="55"/>
      <c r="AB72" s="56"/>
      <c r="AC72" s="55"/>
      <c r="AD72" s="56"/>
      <c r="AE72" s="55"/>
      <c r="AF72" s="56"/>
      <c r="AG72" s="55"/>
      <c r="AH72" s="56"/>
      <c r="AI72" s="55"/>
      <c r="AJ72" s="56"/>
      <c r="AK72" s="55"/>
      <c r="AL72" s="56"/>
      <c r="AM72" s="55"/>
      <c r="AN72" s="56"/>
      <c r="AO72" s="59"/>
      <c r="AP72" s="60"/>
      <c r="AQ72" s="61"/>
      <c r="AR72" s="62"/>
      <c r="AS72" s="38"/>
      <c r="AT72" s="63">
        <f>25604/1000000</f>
        <v>2.5603999999999998E-2</v>
      </c>
      <c r="AU72" s="64">
        <v>0</v>
      </c>
      <c r="AV72" s="64"/>
      <c r="AW72" s="53"/>
      <c r="AX72" s="63">
        <f>18435/1000000</f>
        <v>1.8435E-2</v>
      </c>
      <c r="AY72" s="64">
        <v>0</v>
      </c>
      <c r="AZ72" s="64"/>
      <c r="BA72" s="53"/>
      <c r="BB72" s="63">
        <f>13314/1000000</f>
        <v>1.3313999999999999E-2</v>
      </c>
      <c r="BC72" s="64">
        <v>0</v>
      </c>
      <c r="BD72" s="64"/>
      <c r="BE72" s="53"/>
      <c r="BF72" s="36"/>
      <c r="BG72" s="38"/>
      <c r="BH72" s="63"/>
      <c r="BI72" s="64"/>
      <c r="BJ72" s="64">
        <v>23.81</v>
      </c>
      <c r="BK72" s="53">
        <v>23.81</v>
      </c>
      <c r="BL72" s="61"/>
      <c r="BM72" s="62"/>
      <c r="BN72" s="36"/>
      <c r="BO72" s="38"/>
      <c r="BP72" s="36"/>
      <c r="BQ72" s="38"/>
      <c r="BR72" s="36"/>
      <c r="BS72" s="38"/>
      <c r="BT72" s="38"/>
      <c r="BU72" s="38"/>
      <c r="BV72" s="61"/>
      <c r="BW72" s="62"/>
      <c r="BX72" s="61"/>
      <c r="BY72" s="62"/>
      <c r="BZ72" s="62"/>
      <c r="CA72" s="61"/>
      <c r="CB72" s="62"/>
      <c r="CC72" s="36"/>
      <c r="CD72" s="38"/>
      <c r="CE72" s="64"/>
      <c r="CF72" s="53"/>
      <c r="CG72" s="36"/>
      <c r="CH72" s="38"/>
      <c r="CI72" s="36"/>
      <c r="CJ72" s="38"/>
      <c r="CK72" s="36"/>
      <c r="CL72" s="38"/>
      <c r="CM72" s="36"/>
      <c r="CN72" s="38"/>
      <c r="CO72" s="36"/>
      <c r="CP72" s="38"/>
      <c r="CQ72" s="36"/>
      <c r="CR72" s="38"/>
      <c r="CS72" s="36"/>
      <c r="CT72" s="38"/>
      <c r="CU72" s="61"/>
      <c r="CV72" s="62"/>
      <c r="CW72" s="38"/>
      <c r="CX72" s="115">
        <v>41583</v>
      </c>
      <c r="CY72" s="36"/>
      <c r="CZ72" s="35"/>
      <c r="DA72" s="60">
        <v>0.25169999999999998</v>
      </c>
      <c r="DB72" s="69"/>
      <c r="DC72" s="60">
        <v>1880</v>
      </c>
      <c r="DD72" s="59"/>
      <c r="DE72" s="60"/>
      <c r="DF72" s="53">
        <v>57</v>
      </c>
      <c r="DG72" s="53"/>
      <c r="DH72" s="146">
        <v>41583</v>
      </c>
      <c r="DI72" s="53"/>
      <c r="DJ72" s="38">
        <v>14</v>
      </c>
      <c r="DK72" s="61"/>
      <c r="DL72" s="61"/>
      <c r="DM72" s="72"/>
      <c r="DN72" s="64"/>
      <c r="DO72" s="72"/>
      <c r="DP72" s="64"/>
      <c r="DQ72" s="72"/>
      <c r="DR72" s="53"/>
      <c r="DS72" s="53">
        <v>2.2000000000000002</v>
      </c>
      <c r="DT72" s="38" t="s">
        <v>581</v>
      </c>
      <c r="DU72" s="61"/>
      <c r="DV72" s="62"/>
      <c r="DW72" s="62">
        <v>1000</v>
      </c>
      <c r="DX72" s="113">
        <v>41583</v>
      </c>
      <c r="DY72" s="4" t="s">
        <v>803</v>
      </c>
      <c r="DZ72" s="74" t="s">
        <v>804</v>
      </c>
      <c r="EA72" s="241" t="s">
        <v>805</v>
      </c>
    </row>
    <row r="73" spans="1:131" x14ac:dyDescent="0.4">
      <c r="A73" s="4" t="s">
        <v>168</v>
      </c>
      <c r="B73" s="5" t="s">
        <v>177</v>
      </c>
      <c r="C73" s="8">
        <v>56.903922000000001</v>
      </c>
      <c r="D73" s="8">
        <v>-122.030021</v>
      </c>
      <c r="E73" s="7" t="s">
        <v>170</v>
      </c>
      <c r="F73" s="5" t="s">
        <v>171</v>
      </c>
      <c r="G73" s="7" t="s">
        <v>176</v>
      </c>
      <c r="H73" s="4" t="s">
        <v>178</v>
      </c>
      <c r="I73" s="52"/>
      <c r="J73" s="53"/>
      <c r="K73" s="36">
        <v>2615</v>
      </c>
      <c r="L73" s="38">
        <v>2615</v>
      </c>
      <c r="M73" s="54">
        <v>0.03</v>
      </c>
      <c r="N73" s="55">
        <v>0.06</v>
      </c>
      <c r="O73" s="56"/>
      <c r="P73" s="59">
        <v>9.8599999999999999E-19</v>
      </c>
      <c r="Q73" s="59">
        <v>4.9300000000000001E-17</v>
      </c>
      <c r="R73" s="60">
        <f>AVERAGE(P73,Q73)</f>
        <v>2.5142999999999999E-17</v>
      </c>
      <c r="S73" s="54"/>
      <c r="T73" s="55"/>
      <c r="U73" s="56">
        <v>26.1</v>
      </c>
      <c r="V73" s="55"/>
      <c r="W73" s="55"/>
      <c r="X73" s="56">
        <v>0.22</v>
      </c>
      <c r="Y73" s="54"/>
      <c r="Z73" s="56"/>
      <c r="AA73" s="54"/>
      <c r="AB73" s="56"/>
      <c r="AC73" s="54"/>
      <c r="AD73" s="56"/>
      <c r="AE73" s="54"/>
      <c r="AF73" s="56"/>
      <c r="AG73" s="55"/>
      <c r="AH73" s="56"/>
      <c r="AI73" s="54"/>
      <c r="AJ73" s="56"/>
      <c r="AK73" s="55"/>
      <c r="AL73" s="56"/>
      <c r="AM73" s="54"/>
      <c r="AN73" s="56"/>
      <c r="AO73" s="59"/>
      <c r="AP73" s="60"/>
      <c r="AQ73" s="61"/>
      <c r="AR73" s="62"/>
      <c r="AS73" s="38"/>
      <c r="AT73" s="63"/>
      <c r="AU73" s="64"/>
      <c r="AV73" s="64"/>
      <c r="AW73" s="53"/>
      <c r="AX73" s="65"/>
      <c r="AY73" s="64"/>
      <c r="AZ73" s="64"/>
      <c r="BA73" s="53"/>
      <c r="BB73" s="63"/>
      <c r="BC73" s="64"/>
      <c r="BD73" s="64"/>
      <c r="BE73" s="53"/>
      <c r="BF73" s="37"/>
      <c r="BG73" s="38"/>
      <c r="BH73" s="63"/>
      <c r="BI73" s="64"/>
      <c r="BJ73" s="64"/>
      <c r="BK73" s="53"/>
      <c r="BL73" s="66"/>
      <c r="BM73" s="62"/>
      <c r="BN73" s="37"/>
      <c r="BO73" s="38"/>
      <c r="BP73" s="36"/>
      <c r="BQ73" s="38"/>
      <c r="BR73" s="37"/>
      <c r="BS73" s="38"/>
      <c r="BT73" s="35"/>
      <c r="BU73" s="38"/>
      <c r="BV73" s="66"/>
      <c r="BW73" s="62"/>
      <c r="BX73" s="66"/>
      <c r="BY73" s="62"/>
      <c r="BZ73" s="67"/>
      <c r="CA73" s="61"/>
      <c r="CB73" s="62"/>
      <c r="CC73" s="37"/>
      <c r="CD73" s="38"/>
      <c r="CE73" s="64"/>
      <c r="CF73" s="53"/>
      <c r="CG73" s="37"/>
      <c r="CH73" s="38"/>
      <c r="CI73" s="36"/>
      <c r="CJ73" s="38"/>
      <c r="CK73" s="37"/>
      <c r="CL73" s="38"/>
      <c r="CM73" s="36"/>
      <c r="CN73" s="38"/>
      <c r="CO73" s="37"/>
      <c r="CP73" s="38"/>
      <c r="CQ73" s="37"/>
      <c r="CR73" s="38"/>
      <c r="CS73" s="37"/>
      <c r="CT73" s="38"/>
      <c r="CU73" s="66"/>
      <c r="CV73" s="61"/>
      <c r="CW73" s="35"/>
      <c r="CX73" s="68">
        <v>41504</v>
      </c>
      <c r="CY73" s="37"/>
      <c r="CZ73" s="35"/>
      <c r="DA73" s="60">
        <v>0.1633</v>
      </c>
      <c r="DB73" s="59"/>
      <c r="DC73" s="60"/>
      <c r="DD73" s="69"/>
      <c r="DE73" s="60"/>
      <c r="DF73" s="70">
        <v>60.1</v>
      </c>
      <c r="DG73" s="70"/>
      <c r="DH73" s="71">
        <v>41504</v>
      </c>
      <c r="DI73" s="64"/>
      <c r="DJ73" s="35">
        <v>16</v>
      </c>
      <c r="DK73" s="61"/>
      <c r="DL73" s="61"/>
      <c r="DM73" s="72"/>
      <c r="DN73" s="64"/>
      <c r="DO73" s="72"/>
      <c r="DP73" s="64"/>
      <c r="DQ73" s="72"/>
      <c r="DR73" s="64"/>
      <c r="DS73" s="70">
        <v>3.4</v>
      </c>
      <c r="DT73" s="36" t="s">
        <v>581</v>
      </c>
      <c r="DU73" s="66"/>
      <c r="DV73" s="62"/>
      <c r="DW73" s="62"/>
      <c r="DX73" s="73">
        <v>41507</v>
      </c>
      <c r="DY73" s="4" t="s">
        <v>806</v>
      </c>
      <c r="DZ73" s="74" t="s">
        <v>807</v>
      </c>
      <c r="EA73" s="241" t="s">
        <v>805</v>
      </c>
    </row>
    <row r="74" spans="1:131" x14ac:dyDescent="0.4">
      <c r="A74" s="4" t="s">
        <v>168</v>
      </c>
      <c r="B74" s="5" t="s">
        <v>179</v>
      </c>
      <c r="C74" s="8">
        <v>49.319381999999997</v>
      </c>
      <c r="D74" s="8">
        <v>-113.307653</v>
      </c>
      <c r="E74" s="7" t="s">
        <v>170</v>
      </c>
      <c r="F74" s="5" t="s">
        <v>171</v>
      </c>
      <c r="G74" s="7" t="s">
        <v>180</v>
      </c>
      <c r="H74" s="4" t="s">
        <v>173</v>
      </c>
      <c r="I74" s="52"/>
      <c r="J74" s="53"/>
      <c r="K74" s="36"/>
      <c r="L74" s="38"/>
      <c r="M74" s="54"/>
      <c r="N74" s="55"/>
      <c r="O74" s="56"/>
      <c r="P74" s="36"/>
      <c r="Q74" s="36"/>
      <c r="R74" s="38"/>
      <c r="S74" s="54"/>
      <c r="T74" s="55"/>
      <c r="U74" s="56"/>
      <c r="V74" s="55"/>
      <c r="W74" s="55"/>
      <c r="X74" s="56"/>
      <c r="Y74" s="54"/>
      <c r="Z74" s="56"/>
      <c r="AA74" s="54"/>
      <c r="AB74" s="56"/>
      <c r="AC74" s="54"/>
      <c r="AD74" s="56"/>
      <c r="AE74" s="54"/>
      <c r="AF74" s="56"/>
      <c r="AG74" s="55"/>
      <c r="AH74" s="56"/>
      <c r="AI74" s="54"/>
      <c r="AJ74" s="56"/>
      <c r="AK74" s="55"/>
      <c r="AL74" s="56"/>
      <c r="AM74" s="54"/>
      <c r="AN74" s="56"/>
      <c r="AO74" s="59"/>
      <c r="AP74" s="60"/>
      <c r="AQ74" s="61"/>
      <c r="AR74" s="62"/>
      <c r="AS74" s="38"/>
      <c r="AT74" s="63"/>
      <c r="AU74" s="64"/>
      <c r="AV74" s="64"/>
      <c r="AW74" s="53"/>
      <c r="AX74" s="65"/>
      <c r="AY74" s="64"/>
      <c r="AZ74" s="64"/>
      <c r="BA74" s="53"/>
      <c r="BB74" s="63"/>
      <c r="BC74" s="64"/>
      <c r="BD74" s="64"/>
      <c r="BE74" s="53"/>
      <c r="BF74" s="37"/>
      <c r="BG74" s="38" t="s">
        <v>764</v>
      </c>
      <c r="BH74" s="63"/>
      <c r="BI74" s="64"/>
      <c r="BJ74" s="64"/>
      <c r="BK74" s="53"/>
      <c r="BL74" s="66"/>
      <c r="BM74" s="62"/>
      <c r="BN74" s="37"/>
      <c r="BO74" s="38"/>
      <c r="BP74" s="36"/>
      <c r="BQ74" s="38"/>
      <c r="BR74" s="37"/>
      <c r="BS74" s="38"/>
      <c r="BT74" s="35"/>
      <c r="BU74" s="38"/>
      <c r="BV74" s="66"/>
      <c r="BW74" s="62"/>
      <c r="BX74" s="66"/>
      <c r="BY74" s="62"/>
      <c r="BZ74" s="67"/>
      <c r="CA74" s="61"/>
      <c r="CB74" s="62"/>
      <c r="CC74" s="37"/>
      <c r="CD74" s="38"/>
      <c r="CE74" s="64"/>
      <c r="CF74" s="53"/>
      <c r="CG74" s="37"/>
      <c r="CH74" s="38"/>
      <c r="CI74" s="36"/>
      <c r="CJ74" s="38"/>
      <c r="CK74" s="37"/>
      <c r="CL74" s="38"/>
      <c r="CM74" s="36"/>
      <c r="CN74" s="38"/>
      <c r="CO74" s="37"/>
      <c r="CP74" s="38"/>
      <c r="CQ74" s="37"/>
      <c r="CR74" s="38"/>
      <c r="CS74" s="37"/>
      <c r="CT74" s="38"/>
      <c r="CU74" s="66">
        <v>2845</v>
      </c>
      <c r="CV74" s="61"/>
      <c r="CW74" s="35"/>
      <c r="CX74" s="115">
        <v>40872</v>
      </c>
      <c r="CY74" s="36"/>
      <c r="CZ74" s="35"/>
      <c r="DA74" s="60"/>
      <c r="DB74" s="69">
        <v>7160</v>
      </c>
      <c r="DC74" s="60"/>
      <c r="DD74" s="69"/>
      <c r="DE74" s="60"/>
      <c r="DF74" s="70">
        <v>85</v>
      </c>
      <c r="DG74" s="70"/>
      <c r="DH74" s="71">
        <v>40878</v>
      </c>
      <c r="DI74" s="64"/>
      <c r="DJ74" s="35" t="s">
        <v>808</v>
      </c>
      <c r="DK74" s="61">
        <v>3500</v>
      </c>
      <c r="DL74" s="61">
        <v>5000</v>
      </c>
      <c r="DM74" s="72"/>
      <c r="DN74" s="64"/>
      <c r="DO74" s="72"/>
      <c r="DP74" s="64"/>
      <c r="DQ74" s="72"/>
      <c r="DR74" s="64"/>
      <c r="DS74" s="70">
        <v>3</v>
      </c>
      <c r="DT74" s="36" t="s">
        <v>541</v>
      </c>
      <c r="DU74" s="66"/>
      <c r="DV74" s="62"/>
      <c r="DW74" s="62"/>
      <c r="DX74" s="73">
        <v>40881</v>
      </c>
      <c r="DY74" s="4" t="s">
        <v>809</v>
      </c>
      <c r="DZ74" s="74"/>
      <c r="EA74" s="241" t="s">
        <v>810</v>
      </c>
    </row>
    <row r="75" spans="1:131" x14ac:dyDescent="0.4">
      <c r="A75" s="4" t="s">
        <v>168</v>
      </c>
      <c r="B75" s="5" t="s">
        <v>181</v>
      </c>
      <c r="C75" s="8">
        <v>57.297666</v>
      </c>
      <c r="D75" s="8">
        <v>-122.67292500000001</v>
      </c>
      <c r="E75" s="7" t="s">
        <v>170</v>
      </c>
      <c r="F75" s="5" t="s">
        <v>171</v>
      </c>
      <c r="G75" s="7" t="s">
        <v>176</v>
      </c>
      <c r="H75" s="4" t="s">
        <v>173</v>
      </c>
      <c r="I75" s="52"/>
      <c r="J75" s="53"/>
      <c r="K75" s="36">
        <v>2615</v>
      </c>
      <c r="L75" s="38">
        <v>2615</v>
      </c>
      <c r="M75" s="54">
        <v>0.03</v>
      </c>
      <c r="N75" s="55">
        <v>0.06</v>
      </c>
      <c r="O75" s="56">
        <v>0.05</v>
      </c>
      <c r="P75" s="59">
        <v>9.8599999999999999E-19</v>
      </c>
      <c r="Q75" s="59">
        <v>4.9300000000000001E-17</v>
      </c>
      <c r="R75" s="60">
        <f>AVERAGE(P75,Q75)</f>
        <v>2.5142999999999999E-17</v>
      </c>
      <c r="S75" s="54"/>
      <c r="T75" s="55"/>
      <c r="U75" s="56">
        <v>26.1</v>
      </c>
      <c r="V75" s="55"/>
      <c r="W75" s="55"/>
      <c r="X75" s="56">
        <v>0.22</v>
      </c>
      <c r="Y75" s="54"/>
      <c r="Z75" s="56"/>
      <c r="AA75" s="54"/>
      <c r="AB75" s="56"/>
      <c r="AC75" s="54"/>
      <c r="AD75" s="56"/>
      <c r="AE75" s="54"/>
      <c r="AF75" s="56"/>
      <c r="AG75" s="55"/>
      <c r="AH75" s="56"/>
      <c r="AI75" s="54"/>
      <c r="AJ75" s="56"/>
      <c r="AK75" s="55"/>
      <c r="AL75" s="56"/>
      <c r="AM75" s="54"/>
      <c r="AN75" s="56"/>
      <c r="AO75" s="59"/>
      <c r="AP75" s="60"/>
      <c r="AQ75" s="61"/>
      <c r="AR75" s="62"/>
      <c r="AS75" s="38"/>
      <c r="AT75" s="63">
        <f>25604/1000000</f>
        <v>2.5603999999999998E-2</v>
      </c>
      <c r="AU75" s="64">
        <v>0</v>
      </c>
      <c r="AV75" s="64"/>
      <c r="AW75" s="53"/>
      <c r="AX75" s="65">
        <f>18435/1000000</f>
        <v>1.8435E-2</v>
      </c>
      <c r="AY75" s="64">
        <v>0</v>
      </c>
      <c r="AZ75" s="64"/>
      <c r="BA75" s="53"/>
      <c r="BB75" s="63">
        <f>13314/1000000</f>
        <v>1.3313999999999999E-2</v>
      </c>
      <c r="BC75" s="64">
        <v>0</v>
      </c>
      <c r="BD75" s="64"/>
      <c r="BE75" s="53"/>
      <c r="BF75" s="36"/>
      <c r="BG75" s="38"/>
      <c r="BH75" s="63"/>
      <c r="BI75" s="64"/>
      <c r="BJ75" s="64">
        <v>23.81</v>
      </c>
      <c r="BK75" s="53">
        <v>23.81</v>
      </c>
      <c r="BL75" s="66"/>
      <c r="BM75" s="62"/>
      <c r="BN75" s="37"/>
      <c r="BO75" s="38"/>
      <c r="BP75" s="36"/>
      <c r="BQ75" s="38"/>
      <c r="BR75" s="37"/>
      <c r="BS75" s="38"/>
      <c r="BT75" s="35"/>
      <c r="BU75" s="38"/>
      <c r="BV75" s="66"/>
      <c r="BW75" s="62"/>
      <c r="BX75" s="66"/>
      <c r="BY75" s="62"/>
      <c r="BZ75" s="67"/>
      <c r="CA75" s="61"/>
      <c r="CB75" s="62"/>
      <c r="CC75" s="37"/>
      <c r="CD75" s="38"/>
      <c r="CE75" s="64"/>
      <c r="CF75" s="53"/>
      <c r="CG75" s="37"/>
      <c r="CH75" s="38"/>
      <c r="CI75" s="36"/>
      <c r="CJ75" s="38"/>
      <c r="CK75" s="37"/>
      <c r="CL75" s="38"/>
      <c r="CM75" s="36"/>
      <c r="CN75" s="38"/>
      <c r="CO75" s="37"/>
      <c r="CP75" s="38"/>
      <c r="CQ75" s="37"/>
      <c r="CR75" s="38"/>
      <c r="CS75" s="37"/>
      <c r="CT75" s="38"/>
      <c r="CU75" s="66"/>
      <c r="CV75" s="61"/>
      <c r="CW75" s="35"/>
      <c r="CX75" s="115"/>
      <c r="CY75" s="36"/>
      <c r="CZ75" s="35"/>
      <c r="DA75" s="60"/>
      <c r="DB75" s="69"/>
      <c r="DC75" s="60"/>
      <c r="DD75" s="69"/>
      <c r="DE75" s="60"/>
      <c r="DF75" s="70"/>
      <c r="DG75" s="70"/>
      <c r="DH75" s="71">
        <v>41654</v>
      </c>
      <c r="DI75" s="64"/>
      <c r="DJ75" s="35">
        <v>20</v>
      </c>
      <c r="DK75" s="61"/>
      <c r="DL75" s="61"/>
      <c r="DM75" s="72"/>
      <c r="DN75" s="64"/>
      <c r="DO75" s="72"/>
      <c r="DP75" s="64"/>
      <c r="DQ75" s="72"/>
      <c r="DR75" s="64"/>
      <c r="DS75" s="70">
        <v>3.2</v>
      </c>
      <c r="DT75" s="36" t="s">
        <v>581</v>
      </c>
      <c r="DU75" s="66"/>
      <c r="DV75" s="62"/>
      <c r="DW75" s="62">
        <v>1300</v>
      </c>
      <c r="DX75" s="73">
        <v>41700</v>
      </c>
      <c r="DY75" s="4" t="s">
        <v>811</v>
      </c>
      <c r="DZ75" s="74" t="s">
        <v>804</v>
      </c>
      <c r="EA75" s="241" t="s">
        <v>805</v>
      </c>
    </row>
    <row r="76" spans="1:131" x14ac:dyDescent="0.4">
      <c r="A76" s="4" t="s">
        <v>168</v>
      </c>
      <c r="B76" s="5" t="s">
        <v>182</v>
      </c>
      <c r="C76" s="8">
        <v>55.903270999999997</v>
      </c>
      <c r="D76" s="8">
        <v>-120.32132900000001</v>
      </c>
      <c r="E76" s="7" t="s">
        <v>170</v>
      </c>
      <c r="F76" s="5" t="s">
        <v>171</v>
      </c>
      <c r="G76" s="7" t="s">
        <v>176</v>
      </c>
      <c r="H76" s="4" t="s">
        <v>173</v>
      </c>
      <c r="I76" s="52"/>
      <c r="J76" s="53"/>
      <c r="K76" s="36">
        <v>2615</v>
      </c>
      <c r="L76" s="38">
        <v>2615</v>
      </c>
      <c r="M76" s="54">
        <v>0.03</v>
      </c>
      <c r="N76" s="55">
        <v>0.06</v>
      </c>
      <c r="O76" s="56">
        <f>AVERAGE(M76,N76)</f>
        <v>4.4999999999999998E-2</v>
      </c>
      <c r="P76" s="59">
        <v>9.8599999999999999E-19</v>
      </c>
      <c r="Q76" s="59">
        <v>4.9300000000000001E-17</v>
      </c>
      <c r="R76" s="60">
        <f>AVERAGE(Q76,P76)</f>
        <v>2.5142999999999999E-17</v>
      </c>
      <c r="S76" s="54"/>
      <c r="T76" s="55"/>
      <c r="U76" s="56">
        <v>26.1</v>
      </c>
      <c r="V76" s="55"/>
      <c r="W76" s="55"/>
      <c r="X76" s="56">
        <v>0.22</v>
      </c>
      <c r="Y76" s="54"/>
      <c r="Z76" s="56"/>
      <c r="AA76" s="54"/>
      <c r="AB76" s="56"/>
      <c r="AC76" s="54"/>
      <c r="AD76" s="56"/>
      <c r="AE76" s="54"/>
      <c r="AF76" s="56"/>
      <c r="AG76" s="55"/>
      <c r="AH76" s="56"/>
      <c r="AI76" s="54"/>
      <c r="AJ76" s="56"/>
      <c r="AK76" s="55"/>
      <c r="AL76" s="56"/>
      <c r="AM76" s="54"/>
      <c r="AN76" s="56"/>
      <c r="AO76" s="59"/>
      <c r="AP76" s="60"/>
      <c r="AQ76" s="61"/>
      <c r="AR76" s="62"/>
      <c r="AS76" s="38"/>
      <c r="AT76" s="63">
        <f>25604/1000000</f>
        <v>2.5603999999999998E-2</v>
      </c>
      <c r="AU76" s="64">
        <v>0</v>
      </c>
      <c r="AV76" s="64"/>
      <c r="AW76" s="53"/>
      <c r="AX76" s="65">
        <f>18435/1000000</f>
        <v>1.8435E-2</v>
      </c>
      <c r="AY76" s="64">
        <v>0</v>
      </c>
      <c r="AZ76" s="64"/>
      <c r="BA76" s="53"/>
      <c r="BB76" s="63">
        <f>13314/1000000</f>
        <v>1.3313999999999999E-2</v>
      </c>
      <c r="BC76" s="64">
        <v>0</v>
      </c>
      <c r="BD76" s="64"/>
      <c r="BE76" s="53"/>
      <c r="BF76" s="36"/>
      <c r="BG76" s="38"/>
      <c r="BH76" s="63"/>
      <c r="BI76" s="64"/>
      <c r="BJ76" s="64">
        <v>23.81</v>
      </c>
      <c r="BK76" s="53">
        <v>23.81</v>
      </c>
      <c r="BL76" s="66"/>
      <c r="BM76" s="62"/>
      <c r="BN76" s="37"/>
      <c r="BO76" s="38"/>
      <c r="BP76" s="36"/>
      <c r="BQ76" s="38"/>
      <c r="BR76" s="37"/>
      <c r="BS76" s="38"/>
      <c r="BT76" s="35"/>
      <c r="BU76" s="38"/>
      <c r="BV76" s="66"/>
      <c r="BW76" s="62"/>
      <c r="BX76" s="66"/>
      <c r="BY76" s="62"/>
      <c r="BZ76" s="67"/>
      <c r="CA76" s="61"/>
      <c r="CB76" s="62"/>
      <c r="CC76" s="37"/>
      <c r="CD76" s="38"/>
      <c r="CE76" s="64"/>
      <c r="CF76" s="53"/>
      <c r="CG76" s="37"/>
      <c r="CH76" s="38"/>
      <c r="CI76" s="36"/>
      <c r="CJ76" s="38"/>
      <c r="CK76" s="37"/>
      <c r="CL76" s="38"/>
      <c r="CM76" s="36"/>
      <c r="CN76" s="38"/>
      <c r="CO76" s="37"/>
      <c r="CP76" s="38"/>
      <c r="CQ76" s="37"/>
      <c r="CR76" s="38"/>
      <c r="CS76" s="37"/>
      <c r="CT76" s="38"/>
      <c r="CU76" s="66"/>
      <c r="CV76" s="61"/>
      <c r="CW76" s="35"/>
      <c r="CX76" s="115">
        <v>41565</v>
      </c>
      <c r="CY76" s="36"/>
      <c r="CZ76" s="35"/>
      <c r="DA76" s="60">
        <v>0.17499999999999999</v>
      </c>
      <c r="DB76" s="163"/>
      <c r="DC76" s="60"/>
      <c r="DD76" s="69"/>
      <c r="DE76" s="60"/>
      <c r="DF76" s="70">
        <v>64</v>
      </c>
      <c r="DG76" s="70"/>
      <c r="DH76" s="71">
        <v>41565</v>
      </c>
      <c r="DI76" s="64"/>
      <c r="DJ76" s="35">
        <v>16</v>
      </c>
      <c r="DK76" s="61"/>
      <c r="DL76" s="61"/>
      <c r="DM76" s="72"/>
      <c r="DN76" s="64"/>
      <c r="DO76" s="72"/>
      <c r="DP76" s="64"/>
      <c r="DQ76" s="72"/>
      <c r="DR76" s="64"/>
      <c r="DS76" s="70">
        <v>2.8</v>
      </c>
      <c r="DT76" s="36" t="s">
        <v>581</v>
      </c>
      <c r="DU76" s="66"/>
      <c r="DV76" s="62"/>
      <c r="DW76" s="62">
        <v>3000</v>
      </c>
      <c r="DX76" s="73">
        <v>41570</v>
      </c>
      <c r="DY76" s="114" t="s">
        <v>812</v>
      </c>
      <c r="DZ76" s="74" t="s">
        <v>804</v>
      </c>
      <c r="EA76" s="241" t="s">
        <v>805</v>
      </c>
    </row>
    <row r="77" spans="1:131" x14ac:dyDescent="0.4">
      <c r="A77" s="4" t="s">
        <v>168</v>
      </c>
      <c r="B77" s="5" t="s">
        <v>183</v>
      </c>
      <c r="C77" s="8">
        <v>52.217551999999998</v>
      </c>
      <c r="D77" s="9">
        <v>-114.109443</v>
      </c>
      <c r="E77" s="7" t="s">
        <v>170</v>
      </c>
      <c r="F77" s="5" t="s">
        <v>171</v>
      </c>
      <c r="G77" s="7" t="s">
        <v>184</v>
      </c>
      <c r="H77" s="4" t="s">
        <v>173</v>
      </c>
      <c r="I77" s="52"/>
      <c r="J77" s="53"/>
      <c r="K77" s="36">
        <v>2421</v>
      </c>
      <c r="L77" s="38">
        <v>2921</v>
      </c>
      <c r="M77" s="54">
        <v>0.05</v>
      </c>
      <c r="N77" s="55">
        <v>0.06</v>
      </c>
      <c r="O77" s="56">
        <v>5.5E-2</v>
      </c>
      <c r="P77" s="59">
        <v>1.6099999999999999E-20</v>
      </c>
      <c r="Q77" s="59">
        <v>1.9700000000000001E-20</v>
      </c>
      <c r="R77" s="60">
        <v>1.7900000000000001E-20</v>
      </c>
      <c r="S77" s="54">
        <v>50</v>
      </c>
      <c r="T77" s="55">
        <v>60</v>
      </c>
      <c r="U77" s="56">
        <v>55</v>
      </c>
      <c r="V77" s="55">
        <v>0.23</v>
      </c>
      <c r="W77" s="55">
        <v>0.27</v>
      </c>
      <c r="X77" s="56">
        <v>0.25</v>
      </c>
      <c r="Y77" s="54">
        <f>S77/(3*(1-2*V77))</f>
        <v>30.864197530864196</v>
      </c>
      <c r="Z77" s="56">
        <f>T77/(3*(1-2*W77))</f>
        <v>43.478260869565219</v>
      </c>
      <c r="AA77" s="54">
        <f>S77/(2*(1+V77))</f>
        <v>20.325203252032519</v>
      </c>
      <c r="AB77" s="56">
        <f>T77/(2*(1+W77))</f>
        <v>23.622047244094489</v>
      </c>
      <c r="AC77" s="54"/>
      <c r="AD77" s="56"/>
      <c r="AE77" s="54"/>
      <c r="AF77" s="56"/>
      <c r="AG77" s="55"/>
      <c r="AH77" s="56"/>
      <c r="AI77" s="54"/>
      <c r="AJ77" s="56"/>
      <c r="AK77" s="55"/>
      <c r="AL77" s="56"/>
      <c r="AM77" s="54"/>
      <c r="AN77" s="56"/>
      <c r="AO77" s="59"/>
      <c r="AP77" s="60"/>
      <c r="AQ77" s="61"/>
      <c r="AR77" s="62"/>
      <c r="AS77" s="38" t="s">
        <v>535</v>
      </c>
      <c r="AT77" s="63">
        <v>2.4500000000000001E-2</v>
      </c>
      <c r="AU77" s="64">
        <v>0</v>
      </c>
      <c r="AV77" s="64">
        <f>PRODUCT(AT77,CU77)</f>
        <v>66.64</v>
      </c>
      <c r="AW77" s="53"/>
      <c r="AX77" s="65">
        <v>1.43E-2</v>
      </c>
      <c r="AY77" s="64">
        <v>60</v>
      </c>
      <c r="AZ77" s="64">
        <f>PRODUCT(AX77,CU77)+AY77</f>
        <v>98.896000000000001</v>
      </c>
      <c r="BA77" s="53"/>
      <c r="BB77" s="63">
        <v>1.6799999999999999E-2</v>
      </c>
      <c r="BC77" s="64">
        <v>0</v>
      </c>
      <c r="BD77" s="64">
        <f>PRODUCT(BB77,CU77)</f>
        <v>45.695999999999998</v>
      </c>
      <c r="BE77" s="53"/>
      <c r="BF77" s="37"/>
      <c r="BG77" s="38" t="s">
        <v>813</v>
      </c>
      <c r="BH77" s="63">
        <v>2.4799999999999999E-2</v>
      </c>
      <c r="BI77" s="64">
        <v>-23.8</v>
      </c>
      <c r="BJ77" s="64">
        <f>BH77*CU77+BI77</f>
        <v>43.656000000000006</v>
      </c>
      <c r="BK77" s="53"/>
      <c r="BL77" s="66"/>
      <c r="BM77" s="62"/>
      <c r="BN77" s="37" t="s">
        <v>814</v>
      </c>
      <c r="BO77" s="38"/>
      <c r="BP77" s="36"/>
      <c r="BQ77" s="38">
        <v>60</v>
      </c>
      <c r="BR77" s="37"/>
      <c r="BS77" s="38"/>
      <c r="BT77" s="35"/>
      <c r="BU77" s="38" t="s">
        <v>535</v>
      </c>
      <c r="BV77" s="66"/>
      <c r="BW77" s="62"/>
      <c r="BX77" s="66"/>
      <c r="BY77" s="62"/>
      <c r="BZ77" s="67">
        <v>0</v>
      </c>
      <c r="CA77" s="61">
        <v>2720</v>
      </c>
      <c r="CB77" s="62"/>
      <c r="CC77" s="37"/>
      <c r="CD77" s="38"/>
      <c r="CE77" s="64"/>
      <c r="CF77" s="53">
        <v>0.01</v>
      </c>
      <c r="CG77" s="37"/>
      <c r="CH77" s="60">
        <v>1.0000000000000001E-17</v>
      </c>
      <c r="CI77" s="36"/>
      <c r="CJ77" s="38"/>
      <c r="CK77" s="37"/>
      <c r="CL77" s="38"/>
      <c r="CM77" s="36"/>
      <c r="CN77" s="38"/>
      <c r="CO77" s="37"/>
      <c r="CP77" s="38">
        <v>10</v>
      </c>
      <c r="CQ77" s="37"/>
      <c r="CR77" s="38">
        <v>0.15</v>
      </c>
      <c r="CS77" s="37"/>
      <c r="CT77" s="38"/>
      <c r="CU77" s="66">
        <v>2720</v>
      </c>
      <c r="CV77" s="61"/>
      <c r="CW77" s="35"/>
      <c r="CX77" s="115"/>
      <c r="CY77" s="36" t="s">
        <v>815</v>
      </c>
      <c r="CZ77" s="35"/>
      <c r="DA77" s="60">
        <v>0.245</v>
      </c>
      <c r="DB77" s="69">
        <v>10866</v>
      </c>
      <c r="DC77" s="60"/>
      <c r="DD77" s="69"/>
      <c r="DE77" s="60"/>
      <c r="DF77" s="70"/>
      <c r="DG77" s="70"/>
      <c r="DH77" s="71"/>
      <c r="DI77" s="64"/>
      <c r="DJ77" s="35">
        <v>417</v>
      </c>
      <c r="DK77" s="61">
        <v>2500</v>
      </c>
      <c r="DL77" s="61">
        <v>3500</v>
      </c>
      <c r="DM77" s="72"/>
      <c r="DN77" s="64"/>
      <c r="DO77" s="72"/>
      <c r="DP77" s="64"/>
      <c r="DQ77" s="72"/>
      <c r="DR77" s="64">
        <v>1.1499999999999999</v>
      </c>
      <c r="DS77" s="70">
        <v>4.18</v>
      </c>
      <c r="DT77" s="36" t="s">
        <v>581</v>
      </c>
      <c r="DU77" s="66">
        <v>2627</v>
      </c>
      <c r="DV77" s="62"/>
      <c r="DW77" s="62">
        <v>150</v>
      </c>
      <c r="DX77" s="73">
        <v>43528</v>
      </c>
      <c r="DY77" s="164" t="s">
        <v>816</v>
      </c>
      <c r="DZ77" s="74" t="s">
        <v>817</v>
      </c>
      <c r="EA77" s="241" t="s">
        <v>818</v>
      </c>
    </row>
    <row r="78" spans="1:131" x14ac:dyDescent="0.4">
      <c r="A78" s="4" t="s">
        <v>168</v>
      </c>
      <c r="B78" s="5" t="s">
        <v>185</v>
      </c>
      <c r="C78" s="8">
        <v>54.507570999999999</v>
      </c>
      <c r="D78" s="9">
        <v>-117.31829</v>
      </c>
      <c r="E78" s="7" t="s">
        <v>170</v>
      </c>
      <c r="F78" s="5" t="s">
        <v>171</v>
      </c>
      <c r="G78" s="7" t="s">
        <v>184</v>
      </c>
      <c r="H78" s="4" t="s">
        <v>173</v>
      </c>
      <c r="I78" s="52"/>
      <c r="J78" s="53"/>
      <c r="K78" s="36">
        <v>2510</v>
      </c>
      <c r="L78" s="38">
        <v>2700</v>
      </c>
      <c r="M78" s="54"/>
      <c r="N78" s="55"/>
      <c r="O78" s="56">
        <v>6.5000000000000002E-2</v>
      </c>
      <c r="P78" s="59">
        <v>4.1100000000000002E-19</v>
      </c>
      <c r="Q78" s="59">
        <v>5.0000000000000004E-18</v>
      </c>
      <c r="R78" s="165">
        <f t="shared" ref="R78:R95" si="7">AVERAGE(Q78,P78)</f>
        <v>2.7055000000000004E-18</v>
      </c>
      <c r="S78" s="54"/>
      <c r="T78" s="55"/>
      <c r="U78" s="56">
        <v>50</v>
      </c>
      <c r="V78" s="55"/>
      <c r="W78" s="55"/>
      <c r="X78" s="56">
        <v>0.25</v>
      </c>
      <c r="Y78" s="54"/>
      <c r="Z78" s="56"/>
      <c r="AA78" s="54"/>
      <c r="AB78" s="56"/>
      <c r="AC78" s="54"/>
      <c r="AD78" s="56">
        <v>0.4</v>
      </c>
      <c r="AE78" s="54"/>
      <c r="AF78" s="56"/>
      <c r="AG78" s="55"/>
      <c r="AH78" s="56"/>
      <c r="AI78" s="54"/>
      <c r="AJ78" s="56"/>
      <c r="AK78" s="55"/>
      <c r="AL78" s="56"/>
      <c r="AM78" s="54"/>
      <c r="AN78" s="56"/>
      <c r="AO78" s="59"/>
      <c r="AP78" s="60"/>
      <c r="AQ78" s="61"/>
      <c r="AR78" s="62">
        <v>3840</v>
      </c>
      <c r="AS78" s="38" t="s">
        <v>535</v>
      </c>
      <c r="AT78" s="63">
        <v>2.5000000000000001E-2</v>
      </c>
      <c r="AU78" s="64">
        <v>0</v>
      </c>
      <c r="AV78" s="64"/>
      <c r="AW78" s="53">
        <f t="shared" ref="AW78:AW95" si="8">PRODUCT(AT78,CV78)</f>
        <v>85</v>
      </c>
      <c r="AX78" s="65">
        <v>2.9159999999999998E-2</v>
      </c>
      <c r="AY78" s="64">
        <v>0</v>
      </c>
      <c r="AZ78" s="64"/>
      <c r="BA78" s="53">
        <f t="shared" ref="BA78:BA95" si="9">PRODUCT(AX78,CV78)+AY78</f>
        <v>99.143999999999991</v>
      </c>
      <c r="BB78" s="63">
        <v>3.2099999999999997E-2</v>
      </c>
      <c r="BC78" s="64">
        <v>-41.8</v>
      </c>
      <c r="BD78" s="64"/>
      <c r="BE78" s="53">
        <f t="shared" ref="BE78:BE95" si="10">PRODUCT(BB78,CV78)</f>
        <v>109.13999999999999</v>
      </c>
      <c r="BF78" s="37" t="s">
        <v>819</v>
      </c>
      <c r="BG78" s="38" t="s">
        <v>820</v>
      </c>
      <c r="BH78" s="63">
        <v>2.9100000000000001E-2</v>
      </c>
      <c r="BI78" s="64">
        <v>-39.6</v>
      </c>
      <c r="BJ78" s="64"/>
      <c r="BK78" s="53">
        <f t="shared" ref="BK78:BK95" si="11">BH78*CV78+BI78</f>
        <v>59.339999999999996</v>
      </c>
      <c r="BL78" s="66"/>
      <c r="BM78" s="62"/>
      <c r="BN78" s="37" t="s">
        <v>641</v>
      </c>
      <c r="BO78" s="38"/>
      <c r="BP78" s="36"/>
      <c r="BQ78" s="38">
        <v>90</v>
      </c>
      <c r="BR78" s="37"/>
      <c r="BS78" s="38"/>
      <c r="BT78" s="35"/>
      <c r="BU78" s="38" t="s">
        <v>535</v>
      </c>
      <c r="BV78" s="66"/>
      <c r="BW78" s="62"/>
      <c r="BX78" s="66"/>
      <c r="BY78" s="62"/>
      <c r="BZ78" s="67"/>
      <c r="CA78" s="61"/>
      <c r="CB78" s="62"/>
      <c r="CC78" s="37"/>
      <c r="CD78" s="38"/>
      <c r="CE78" s="64"/>
      <c r="CF78" s="53"/>
      <c r="CG78" s="37"/>
      <c r="CH78" s="38"/>
      <c r="CI78" s="36"/>
      <c r="CJ78" s="38"/>
      <c r="CK78" s="37"/>
      <c r="CL78" s="38"/>
      <c r="CM78" s="36"/>
      <c r="CN78" s="38"/>
      <c r="CO78" s="37"/>
      <c r="CP78" s="38"/>
      <c r="CQ78" s="37"/>
      <c r="CR78" s="38"/>
      <c r="CS78" s="37"/>
      <c r="CT78" s="38"/>
      <c r="CU78" s="66"/>
      <c r="CV78" s="61">
        <v>3400</v>
      </c>
      <c r="CW78" s="35"/>
      <c r="CX78" s="115">
        <v>41579</v>
      </c>
      <c r="CY78" s="36" t="s">
        <v>815</v>
      </c>
      <c r="CZ78" s="35">
        <v>100</v>
      </c>
      <c r="DA78" s="60">
        <v>0.18329999999999999</v>
      </c>
      <c r="DB78" s="69">
        <v>45000</v>
      </c>
      <c r="DC78" s="60"/>
      <c r="DD78" s="69"/>
      <c r="DE78" s="60"/>
      <c r="DF78" s="70">
        <v>65</v>
      </c>
      <c r="DG78" s="70"/>
      <c r="DH78" s="71">
        <v>41275</v>
      </c>
      <c r="DI78" s="64"/>
      <c r="DJ78" s="35"/>
      <c r="DK78" s="61"/>
      <c r="DL78" s="61"/>
      <c r="DM78" s="72"/>
      <c r="DN78" s="64"/>
      <c r="DO78" s="72"/>
      <c r="DP78" s="64">
        <v>0.9</v>
      </c>
      <c r="DQ78" s="72"/>
      <c r="DR78" s="64"/>
      <c r="DS78" s="70">
        <v>3.3</v>
      </c>
      <c r="DT78" s="36" t="s">
        <v>541</v>
      </c>
      <c r="DU78" s="66"/>
      <c r="DV78" s="62"/>
      <c r="DW78" s="62">
        <v>1500</v>
      </c>
      <c r="DX78" s="73">
        <v>41275</v>
      </c>
      <c r="DY78" s="4"/>
      <c r="DZ78" s="74" t="s">
        <v>821</v>
      </c>
      <c r="EA78" s="241" t="s">
        <v>1090</v>
      </c>
    </row>
    <row r="79" spans="1:131" x14ac:dyDescent="0.4">
      <c r="A79" s="4" t="s">
        <v>168</v>
      </c>
      <c r="B79" s="5" t="s">
        <v>186</v>
      </c>
      <c r="C79" s="8">
        <v>54.157246999999998</v>
      </c>
      <c r="D79" s="8">
        <v>-116.886296</v>
      </c>
      <c r="E79" s="7" t="s">
        <v>170</v>
      </c>
      <c r="F79" s="5" t="s">
        <v>171</v>
      </c>
      <c r="G79" s="7" t="s">
        <v>184</v>
      </c>
      <c r="H79" s="4" t="s">
        <v>173</v>
      </c>
      <c r="I79" s="52"/>
      <c r="J79" s="53"/>
      <c r="K79" s="36">
        <v>2510</v>
      </c>
      <c r="L79" s="38">
        <v>2700</v>
      </c>
      <c r="M79" s="54"/>
      <c r="N79" s="55"/>
      <c r="O79" s="56">
        <v>6.5000000000000002E-2</v>
      </c>
      <c r="P79" s="59">
        <v>4.1100000000000002E-19</v>
      </c>
      <c r="Q79" s="59">
        <v>5.0000000000000004E-18</v>
      </c>
      <c r="R79" s="165">
        <f t="shared" si="7"/>
        <v>2.7055000000000004E-18</v>
      </c>
      <c r="S79" s="54"/>
      <c r="T79" s="55"/>
      <c r="U79" s="56">
        <v>50</v>
      </c>
      <c r="V79" s="55"/>
      <c r="W79" s="55"/>
      <c r="X79" s="56">
        <v>0.25</v>
      </c>
      <c r="Y79" s="54"/>
      <c r="Z79" s="56"/>
      <c r="AA79" s="54"/>
      <c r="AB79" s="56"/>
      <c r="AC79" s="54"/>
      <c r="AD79" s="56">
        <v>0.4</v>
      </c>
      <c r="AE79" s="54"/>
      <c r="AF79" s="56"/>
      <c r="AG79" s="55"/>
      <c r="AH79" s="56"/>
      <c r="AI79" s="54"/>
      <c r="AJ79" s="56"/>
      <c r="AK79" s="55"/>
      <c r="AL79" s="56"/>
      <c r="AM79" s="54"/>
      <c r="AN79" s="56"/>
      <c r="AO79" s="59"/>
      <c r="AP79" s="60"/>
      <c r="AQ79" s="61"/>
      <c r="AR79" s="62">
        <v>3840</v>
      </c>
      <c r="AS79" s="38" t="s">
        <v>535</v>
      </c>
      <c r="AT79" s="63">
        <v>2.5000000000000001E-2</v>
      </c>
      <c r="AU79" s="64">
        <v>0</v>
      </c>
      <c r="AV79" s="64">
        <f>PRODUCT(AT79,CU79)</f>
        <v>60.375</v>
      </c>
      <c r="AW79" s="53">
        <f t="shared" si="8"/>
        <v>86.15</v>
      </c>
      <c r="AX79" s="65">
        <v>2.9159999999999998E-2</v>
      </c>
      <c r="AY79" s="64">
        <v>0</v>
      </c>
      <c r="AZ79" s="64">
        <f>PRODUCT(AX79,CU79)+AY79</f>
        <v>70.421399999999991</v>
      </c>
      <c r="BA79" s="53">
        <f t="shared" si="9"/>
        <v>100.48536</v>
      </c>
      <c r="BB79" s="63">
        <v>3.2099999999999997E-2</v>
      </c>
      <c r="BC79" s="64">
        <v>-41.8</v>
      </c>
      <c r="BD79" s="64">
        <f>PRODUCT(BB79,CU79)</f>
        <v>77.521499999999989</v>
      </c>
      <c r="BE79" s="53">
        <f t="shared" si="10"/>
        <v>110.61659999999999</v>
      </c>
      <c r="BF79" s="36" t="s">
        <v>819</v>
      </c>
      <c r="BG79" s="38" t="s">
        <v>820</v>
      </c>
      <c r="BH79" s="63">
        <v>2.9100000000000001E-2</v>
      </c>
      <c r="BI79" s="64">
        <v>-39.6</v>
      </c>
      <c r="BJ79" s="64">
        <f>BH79*CU79+BI79</f>
        <v>30.676499999999997</v>
      </c>
      <c r="BK79" s="53">
        <f t="shared" si="11"/>
        <v>60.678599999999996</v>
      </c>
      <c r="BL79" s="66"/>
      <c r="BM79" s="62"/>
      <c r="BN79" s="37" t="s">
        <v>641</v>
      </c>
      <c r="BO79" s="38"/>
      <c r="BP79" s="36"/>
      <c r="BQ79" s="38">
        <v>90</v>
      </c>
      <c r="BR79" s="37"/>
      <c r="BS79" s="38"/>
      <c r="BT79" s="35"/>
      <c r="BU79" s="38" t="s">
        <v>535</v>
      </c>
      <c r="BV79" s="66"/>
      <c r="BW79" s="62"/>
      <c r="BX79" s="66"/>
      <c r="BY79" s="62"/>
      <c r="BZ79" s="67"/>
      <c r="CA79" s="61"/>
      <c r="CB79" s="62"/>
      <c r="CC79" s="37"/>
      <c r="CD79" s="38"/>
      <c r="CE79" s="64"/>
      <c r="CF79" s="53"/>
      <c r="CG79" s="37"/>
      <c r="CH79" s="38"/>
      <c r="CI79" s="36"/>
      <c r="CJ79" s="38"/>
      <c r="CK79" s="37"/>
      <c r="CL79" s="38"/>
      <c r="CM79" s="36"/>
      <c r="CN79" s="38"/>
      <c r="CO79" s="37"/>
      <c r="CP79" s="38"/>
      <c r="CQ79" s="37"/>
      <c r="CR79" s="38"/>
      <c r="CS79" s="37"/>
      <c r="CT79" s="38"/>
      <c r="CU79" s="66">
        <v>2415</v>
      </c>
      <c r="CV79" s="61">
        <v>3446</v>
      </c>
      <c r="CW79" s="35"/>
      <c r="CX79" s="115">
        <v>42134</v>
      </c>
      <c r="CY79" s="36" t="s">
        <v>815</v>
      </c>
      <c r="CZ79" s="35">
        <v>100</v>
      </c>
      <c r="DA79" s="60">
        <v>0.15659999999999999</v>
      </c>
      <c r="DB79" s="69"/>
      <c r="DC79" s="60"/>
      <c r="DD79" s="69"/>
      <c r="DE79" s="60"/>
      <c r="DF79" s="70">
        <v>62.6</v>
      </c>
      <c r="DG79" s="70"/>
      <c r="DH79" s="71">
        <v>42156</v>
      </c>
      <c r="DI79" s="64"/>
      <c r="DJ79" s="35"/>
      <c r="DK79" s="61">
        <v>3400</v>
      </c>
      <c r="DL79" s="61">
        <v>4500</v>
      </c>
      <c r="DM79" s="72"/>
      <c r="DN79" s="64"/>
      <c r="DO79" s="72"/>
      <c r="DP79" s="64">
        <v>0.9</v>
      </c>
      <c r="DQ79" s="72"/>
      <c r="DR79" s="64"/>
      <c r="DS79" s="70">
        <v>3.9</v>
      </c>
      <c r="DT79" s="36" t="s">
        <v>541</v>
      </c>
      <c r="DU79" s="66">
        <v>3000</v>
      </c>
      <c r="DV79" s="62">
        <v>4000</v>
      </c>
      <c r="DW79" s="62">
        <v>2000</v>
      </c>
      <c r="DX79" s="73">
        <v>42168</v>
      </c>
      <c r="DY79" s="114"/>
      <c r="DZ79" s="74"/>
      <c r="EA79" s="241" t="s">
        <v>1090</v>
      </c>
    </row>
    <row r="80" spans="1:131" x14ac:dyDescent="0.4">
      <c r="A80" s="4" t="s">
        <v>168</v>
      </c>
      <c r="B80" s="5" t="s">
        <v>187</v>
      </c>
      <c r="C80" s="8">
        <v>54.384492000000002</v>
      </c>
      <c r="D80" s="8">
        <v>-117.399624</v>
      </c>
      <c r="E80" s="7" t="s">
        <v>170</v>
      </c>
      <c r="F80" s="5" t="s">
        <v>171</v>
      </c>
      <c r="G80" s="7" t="s">
        <v>184</v>
      </c>
      <c r="H80" s="4" t="s">
        <v>173</v>
      </c>
      <c r="I80" s="52"/>
      <c r="J80" s="53"/>
      <c r="K80" s="36">
        <v>2510</v>
      </c>
      <c r="L80" s="38">
        <v>2700</v>
      </c>
      <c r="M80" s="54"/>
      <c r="N80" s="55"/>
      <c r="O80" s="56">
        <v>6.5000000000000002E-2</v>
      </c>
      <c r="P80" s="59">
        <v>4.1100000000000002E-19</v>
      </c>
      <c r="Q80" s="59">
        <v>5.0000000000000004E-18</v>
      </c>
      <c r="R80" s="165">
        <f t="shared" si="7"/>
        <v>2.7055000000000004E-18</v>
      </c>
      <c r="S80" s="54"/>
      <c r="T80" s="55"/>
      <c r="U80" s="56">
        <v>50</v>
      </c>
      <c r="V80" s="55"/>
      <c r="W80" s="55"/>
      <c r="X80" s="56">
        <v>0.25</v>
      </c>
      <c r="Y80" s="54"/>
      <c r="Z80" s="56"/>
      <c r="AA80" s="54"/>
      <c r="AB80" s="56"/>
      <c r="AC80" s="54"/>
      <c r="AD80" s="56">
        <v>0.4</v>
      </c>
      <c r="AE80" s="54"/>
      <c r="AF80" s="56"/>
      <c r="AG80" s="55"/>
      <c r="AH80" s="56"/>
      <c r="AI80" s="54"/>
      <c r="AJ80" s="56"/>
      <c r="AK80" s="55"/>
      <c r="AL80" s="56"/>
      <c r="AM80" s="54"/>
      <c r="AN80" s="56"/>
      <c r="AO80" s="59"/>
      <c r="AP80" s="60"/>
      <c r="AQ80" s="61"/>
      <c r="AR80" s="62">
        <v>3840</v>
      </c>
      <c r="AS80" s="38" t="s">
        <v>535</v>
      </c>
      <c r="AT80" s="63">
        <v>2.5000000000000001E-2</v>
      </c>
      <c r="AU80" s="64">
        <v>0</v>
      </c>
      <c r="AV80" s="64"/>
      <c r="AW80" s="53">
        <f t="shared" si="8"/>
        <v>85</v>
      </c>
      <c r="AX80" s="65">
        <v>2.9159999999999998E-2</v>
      </c>
      <c r="AY80" s="64">
        <v>0</v>
      </c>
      <c r="AZ80" s="64"/>
      <c r="BA80" s="53">
        <f t="shared" si="9"/>
        <v>99.143999999999991</v>
      </c>
      <c r="BB80" s="63">
        <v>3.2099999999999997E-2</v>
      </c>
      <c r="BC80" s="64">
        <v>-41.8</v>
      </c>
      <c r="BD80" s="64"/>
      <c r="BE80" s="53">
        <f t="shared" si="10"/>
        <v>109.13999999999999</v>
      </c>
      <c r="BF80" s="36" t="s">
        <v>819</v>
      </c>
      <c r="BG80" s="38" t="s">
        <v>820</v>
      </c>
      <c r="BH80" s="63">
        <v>2.9100000000000001E-2</v>
      </c>
      <c r="BI80" s="64">
        <v>-39.6</v>
      </c>
      <c r="BJ80" s="64"/>
      <c r="BK80" s="53">
        <f t="shared" si="11"/>
        <v>59.339999999999996</v>
      </c>
      <c r="BL80" s="66"/>
      <c r="BM80" s="62"/>
      <c r="BN80" s="37" t="s">
        <v>641</v>
      </c>
      <c r="BO80" s="38"/>
      <c r="BP80" s="36"/>
      <c r="BQ80" s="38">
        <v>90</v>
      </c>
      <c r="BR80" s="37"/>
      <c r="BS80" s="38"/>
      <c r="BT80" s="35"/>
      <c r="BU80" s="38" t="s">
        <v>535</v>
      </c>
      <c r="BV80" s="66"/>
      <c r="BW80" s="62"/>
      <c r="BX80" s="66"/>
      <c r="BY80" s="62"/>
      <c r="BZ80" s="67"/>
      <c r="CA80" s="61"/>
      <c r="CB80" s="62"/>
      <c r="CC80" s="37"/>
      <c r="CD80" s="38"/>
      <c r="CE80" s="64"/>
      <c r="CF80" s="53"/>
      <c r="CG80" s="37"/>
      <c r="CH80" s="38"/>
      <c r="CI80" s="36"/>
      <c r="CJ80" s="38"/>
      <c r="CK80" s="37"/>
      <c r="CL80" s="38"/>
      <c r="CM80" s="36"/>
      <c r="CN80" s="38"/>
      <c r="CO80" s="37"/>
      <c r="CP80" s="38"/>
      <c r="CQ80" s="37"/>
      <c r="CR80" s="38"/>
      <c r="CS80" s="37"/>
      <c r="CT80" s="38"/>
      <c r="CU80" s="66"/>
      <c r="CV80" s="61">
        <v>3400</v>
      </c>
      <c r="CW80" s="35"/>
      <c r="CX80" s="115"/>
      <c r="CY80" s="36" t="s">
        <v>815</v>
      </c>
      <c r="CZ80" s="35">
        <v>100</v>
      </c>
      <c r="DA80" s="60">
        <v>0.15659999999999999</v>
      </c>
      <c r="DB80" s="69"/>
      <c r="DC80" s="60"/>
      <c r="DD80" s="69"/>
      <c r="DE80" s="60"/>
      <c r="DF80" s="70">
        <v>62.6</v>
      </c>
      <c r="DG80" s="70"/>
      <c r="DH80" s="71"/>
      <c r="DI80" s="64"/>
      <c r="DJ80" s="35"/>
      <c r="DK80" s="61"/>
      <c r="DL80" s="61"/>
      <c r="DM80" s="72"/>
      <c r="DN80" s="64"/>
      <c r="DO80" s="72"/>
      <c r="DP80" s="64">
        <v>0.9</v>
      </c>
      <c r="DQ80" s="72"/>
      <c r="DR80" s="64"/>
      <c r="DS80" s="70">
        <v>2.9</v>
      </c>
      <c r="DT80" s="36" t="s">
        <v>541</v>
      </c>
      <c r="DU80" s="66"/>
      <c r="DV80" s="62"/>
      <c r="DW80" s="62"/>
      <c r="DX80" s="73">
        <v>42005</v>
      </c>
      <c r="DY80" s="4"/>
      <c r="DZ80" s="74"/>
      <c r="EA80" s="241" t="s">
        <v>1090</v>
      </c>
    </row>
    <row r="81" spans="1:131" x14ac:dyDescent="0.4">
      <c r="A81" s="4" t="s">
        <v>168</v>
      </c>
      <c r="B81" s="5" t="s">
        <v>188</v>
      </c>
      <c r="C81" s="8">
        <v>54.461790999999998</v>
      </c>
      <c r="D81" s="8">
        <v>-117.265879</v>
      </c>
      <c r="E81" s="7" t="s">
        <v>170</v>
      </c>
      <c r="F81" s="5" t="s">
        <v>171</v>
      </c>
      <c r="G81" s="7" t="s">
        <v>184</v>
      </c>
      <c r="H81" s="4" t="s">
        <v>173</v>
      </c>
      <c r="I81" s="52"/>
      <c r="J81" s="53"/>
      <c r="K81" s="36">
        <v>2510</v>
      </c>
      <c r="L81" s="38">
        <v>2700</v>
      </c>
      <c r="M81" s="54"/>
      <c r="N81" s="55"/>
      <c r="O81" s="56">
        <v>6.5000000000000002E-2</v>
      </c>
      <c r="P81" s="59">
        <v>4.1100000000000002E-19</v>
      </c>
      <c r="Q81" s="59">
        <v>5.0000000000000004E-18</v>
      </c>
      <c r="R81" s="165">
        <f t="shared" si="7"/>
        <v>2.7055000000000004E-18</v>
      </c>
      <c r="S81" s="54"/>
      <c r="T81" s="55"/>
      <c r="U81" s="56">
        <v>50</v>
      </c>
      <c r="V81" s="55"/>
      <c r="W81" s="55"/>
      <c r="X81" s="56">
        <v>0.25</v>
      </c>
      <c r="Y81" s="54"/>
      <c r="Z81" s="56"/>
      <c r="AA81" s="54"/>
      <c r="AB81" s="56"/>
      <c r="AC81" s="54"/>
      <c r="AD81" s="56">
        <v>0.4</v>
      </c>
      <c r="AE81" s="54"/>
      <c r="AF81" s="56"/>
      <c r="AG81" s="55"/>
      <c r="AH81" s="56"/>
      <c r="AI81" s="54"/>
      <c r="AJ81" s="56"/>
      <c r="AK81" s="55"/>
      <c r="AL81" s="56"/>
      <c r="AM81" s="54"/>
      <c r="AN81" s="56"/>
      <c r="AO81" s="59"/>
      <c r="AP81" s="60"/>
      <c r="AQ81" s="61"/>
      <c r="AR81" s="62">
        <v>3840</v>
      </c>
      <c r="AS81" s="38" t="s">
        <v>535</v>
      </c>
      <c r="AT81" s="63">
        <v>2.5000000000000001E-2</v>
      </c>
      <c r="AU81" s="64">
        <v>0</v>
      </c>
      <c r="AV81" s="64"/>
      <c r="AW81" s="53">
        <f t="shared" si="8"/>
        <v>85</v>
      </c>
      <c r="AX81" s="65">
        <v>2.9159999999999998E-2</v>
      </c>
      <c r="AY81" s="64">
        <v>0</v>
      </c>
      <c r="AZ81" s="64"/>
      <c r="BA81" s="53">
        <f t="shared" si="9"/>
        <v>99.143999999999991</v>
      </c>
      <c r="BB81" s="63">
        <v>3.2099999999999997E-2</v>
      </c>
      <c r="BC81" s="64">
        <v>-41.8</v>
      </c>
      <c r="BD81" s="64"/>
      <c r="BE81" s="53">
        <f t="shared" si="10"/>
        <v>109.13999999999999</v>
      </c>
      <c r="BF81" s="36" t="s">
        <v>819</v>
      </c>
      <c r="BG81" s="38" t="s">
        <v>820</v>
      </c>
      <c r="BH81" s="63">
        <v>2.9100000000000001E-2</v>
      </c>
      <c r="BI81" s="64">
        <v>-39.6</v>
      </c>
      <c r="BJ81" s="64"/>
      <c r="BK81" s="53">
        <f t="shared" si="11"/>
        <v>59.339999999999996</v>
      </c>
      <c r="BL81" s="66"/>
      <c r="BM81" s="62"/>
      <c r="BN81" s="37" t="s">
        <v>641</v>
      </c>
      <c r="BO81" s="38"/>
      <c r="BP81" s="36"/>
      <c r="BQ81" s="38">
        <v>90</v>
      </c>
      <c r="BR81" s="37"/>
      <c r="BS81" s="38"/>
      <c r="BT81" s="35"/>
      <c r="BU81" s="38" t="s">
        <v>535</v>
      </c>
      <c r="BV81" s="66"/>
      <c r="BW81" s="62"/>
      <c r="BX81" s="66"/>
      <c r="BY81" s="62"/>
      <c r="BZ81" s="67"/>
      <c r="CA81" s="61"/>
      <c r="CB81" s="62"/>
      <c r="CC81" s="37"/>
      <c r="CD81" s="38"/>
      <c r="CE81" s="64"/>
      <c r="CF81" s="53"/>
      <c r="CG81" s="37"/>
      <c r="CH81" s="38"/>
      <c r="CI81" s="36"/>
      <c r="CJ81" s="38"/>
      <c r="CK81" s="37"/>
      <c r="CL81" s="38"/>
      <c r="CM81" s="36"/>
      <c r="CN81" s="38"/>
      <c r="CO81" s="37"/>
      <c r="CP81" s="38"/>
      <c r="CQ81" s="37"/>
      <c r="CR81" s="38"/>
      <c r="CS81" s="37"/>
      <c r="CT81" s="38"/>
      <c r="CU81" s="66"/>
      <c r="CV81" s="61">
        <v>3400</v>
      </c>
      <c r="CW81" s="35"/>
      <c r="CX81" s="115">
        <v>42217</v>
      </c>
      <c r="CY81" s="36" t="s">
        <v>815</v>
      </c>
      <c r="CZ81" s="35">
        <v>100</v>
      </c>
      <c r="DA81" s="60">
        <v>0.15659999999999999</v>
      </c>
      <c r="DB81" s="69"/>
      <c r="DC81" s="60"/>
      <c r="DD81" s="69"/>
      <c r="DE81" s="60"/>
      <c r="DF81" s="70">
        <v>62.6</v>
      </c>
      <c r="DG81" s="70"/>
      <c r="DH81" s="71">
        <v>42217</v>
      </c>
      <c r="DI81" s="64"/>
      <c r="DJ81" s="35"/>
      <c r="DK81" s="61"/>
      <c r="DL81" s="61"/>
      <c r="DM81" s="72"/>
      <c r="DN81" s="64"/>
      <c r="DO81" s="72"/>
      <c r="DP81" s="64">
        <v>0.9</v>
      </c>
      <c r="DQ81" s="72"/>
      <c r="DR81" s="64"/>
      <c r="DS81" s="70">
        <v>3.2</v>
      </c>
      <c r="DT81" s="36" t="s">
        <v>541</v>
      </c>
      <c r="DU81" s="66"/>
      <c r="DV81" s="62"/>
      <c r="DW81" s="62"/>
      <c r="DX81" s="73">
        <v>42005</v>
      </c>
      <c r="DY81" s="4"/>
      <c r="DZ81" s="74"/>
      <c r="EA81" s="241" t="s">
        <v>1090</v>
      </c>
    </row>
    <row r="82" spans="1:131" x14ac:dyDescent="0.4">
      <c r="A82" s="4" t="s">
        <v>168</v>
      </c>
      <c r="B82" s="5" t="s">
        <v>189</v>
      </c>
      <c r="C82" s="8">
        <v>54.309600000000003</v>
      </c>
      <c r="D82" s="8">
        <v>-117.620251</v>
      </c>
      <c r="E82" s="7" t="s">
        <v>170</v>
      </c>
      <c r="F82" s="5" t="s">
        <v>171</v>
      </c>
      <c r="G82" s="7" t="s">
        <v>184</v>
      </c>
      <c r="H82" s="4" t="s">
        <v>173</v>
      </c>
      <c r="I82" s="52"/>
      <c r="J82" s="53"/>
      <c r="K82" s="36">
        <v>2510</v>
      </c>
      <c r="L82" s="38">
        <v>2700</v>
      </c>
      <c r="M82" s="54"/>
      <c r="N82" s="55"/>
      <c r="O82" s="56">
        <v>6.5000000000000002E-2</v>
      </c>
      <c r="P82" s="59">
        <v>4.1100000000000002E-19</v>
      </c>
      <c r="Q82" s="59">
        <v>5.0000000000000004E-18</v>
      </c>
      <c r="R82" s="165">
        <f t="shared" si="7"/>
        <v>2.7055000000000004E-18</v>
      </c>
      <c r="S82" s="54"/>
      <c r="T82" s="55"/>
      <c r="U82" s="56">
        <v>50</v>
      </c>
      <c r="V82" s="55"/>
      <c r="W82" s="55"/>
      <c r="X82" s="56">
        <v>0.25</v>
      </c>
      <c r="Y82" s="54"/>
      <c r="Z82" s="56"/>
      <c r="AA82" s="54"/>
      <c r="AB82" s="56"/>
      <c r="AC82" s="54"/>
      <c r="AD82" s="56">
        <v>0.4</v>
      </c>
      <c r="AE82" s="54"/>
      <c r="AF82" s="56"/>
      <c r="AG82" s="55"/>
      <c r="AH82" s="56"/>
      <c r="AI82" s="54"/>
      <c r="AJ82" s="56"/>
      <c r="AK82" s="55"/>
      <c r="AL82" s="56"/>
      <c r="AM82" s="54"/>
      <c r="AN82" s="56"/>
      <c r="AO82" s="59"/>
      <c r="AP82" s="60"/>
      <c r="AQ82" s="61"/>
      <c r="AR82" s="62">
        <v>3840</v>
      </c>
      <c r="AS82" s="38" t="s">
        <v>535</v>
      </c>
      <c r="AT82" s="63">
        <v>2.5000000000000001E-2</v>
      </c>
      <c r="AU82" s="64">
        <v>0</v>
      </c>
      <c r="AV82" s="64"/>
      <c r="AW82" s="53">
        <f t="shared" si="8"/>
        <v>85</v>
      </c>
      <c r="AX82" s="65">
        <v>2.9159999999999998E-2</v>
      </c>
      <c r="AY82" s="64">
        <v>0</v>
      </c>
      <c r="AZ82" s="64"/>
      <c r="BA82" s="53">
        <f t="shared" si="9"/>
        <v>99.143999999999991</v>
      </c>
      <c r="BB82" s="63">
        <v>3.2099999999999997E-2</v>
      </c>
      <c r="BC82" s="64">
        <v>-41.8</v>
      </c>
      <c r="BD82" s="64"/>
      <c r="BE82" s="53">
        <f t="shared" si="10"/>
        <v>109.13999999999999</v>
      </c>
      <c r="BF82" s="36" t="s">
        <v>819</v>
      </c>
      <c r="BG82" s="38" t="s">
        <v>820</v>
      </c>
      <c r="BH82" s="63">
        <v>2.9100000000000001E-2</v>
      </c>
      <c r="BI82" s="64">
        <v>-39.6</v>
      </c>
      <c r="BJ82" s="64"/>
      <c r="BK82" s="53">
        <f t="shared" si="11"/>
        <v>59.339999999999996</v>
      </c>
      <c r="BL82" s="66"/>
      <c r="BM82" s="62"/>
      <c r="BN82" s="37" t="s">
        <v>641</v>
      </c>
      <c r="BO82" s="38"/>
      <c r="BP82" s="36"/>
      <c r="BQ82" s="38">
        <v>90</v>
      </c>
      <c r="BR82" s="37"/>
      <c r="BS82" s="38"/>
      <c r="BT82" s="35"/>
      <c r="BU82" s="38" t="s">
        <v>535</v>
      </c>
      <c r="BV82" s="66"/>
      <c r="BW82" s="62"/>
      <c r="BX82" s="66"/>
      <c r="BY82" s="62"/>
      <c r="BZ82" s="67"/>
      <c r="CA82" s="61"/>
      <c r="CB82" s="62"/>
      <c r="CC82" s="37"/>
      <c r="CD82" s="38"/>
      <c r="CE82" s="64"/>
      <c r="CF82" s="53"/>
      <c r="CG82" s="37"/>
      <c r="CH82" s="38"/>
      <c r="CI82" s="36"/>
      <c r="CJ82" s="38"/>
      <c r="CK82" s="37"/>
      <c r="CL82" s="38"/>
      <c r="CM82" s="36"/>
      <c r="CN82" s="38"/>
      <c r="CO82" s="37"/>
      <c r="CP82" s="38"/>
      <c r="CQ82" s="37"/>
      <c r="CR82" s="38"/>
      <c r="CS82" s="37"/>
      <c r="CT82" s="38"/>
      <c r="CU82" s="66"/>
      <c r="CV82" s="61">
        <v>3400</v>
      </c>
      <c r="CW82" s="35"/>
      <c r="CX82" s="115">
        <v>42217</v>
      </c>
      <c r="CY82" s="36" t="s">
        <v>815</v>
      </c>
      <c r="CZ82" s="35">
        <v>100</v>
      </c>
      <c r="DA82" s="60">
        <v>0.15659999999999999</v>
      </c>
      <c r="DB82" s="69"/>
      <c r="DC82" s="60"/>
      <c r="DD82" s="69"/>
      <c r="DE82" s="60"/>
      <c r="DF82" s="70">
        <v>62.6</v>
      </c>
      <c r="DG82" s="70"/>
      <c r="DH82" s="71">
        <v>42217</v>
      </c>
      <c r="DI82" s="64"/>
      <c r="DJ82" s="35"/>
      <c r="DK82" s="61"/>
      <c r="DL82" s="61"/>
      <c r="DM82" s="72"/>
      <c r="DN82" s="64"/>
      <c r="DO82" s="72"/>
      <c r="DP82" s="64">
        <v>0.9</v>
      </c>
      <c r="DQ82" s="72"/>
      <c r="DR82" s="64"/>
      <c r="DS82" s="70">
        <v>2.9</v>
      </c>
      <c r="DT82" s="36" t="s">
        <v>541</v>
      </c>
      <c r="DU82" s="66"/>
      <c r="DV82" s="62"/>
      <c r="DW82" s="62"/>
      <c r="DX82" s="73">
        <v>42005</v>
      </c>
      <c r="DY82" s="4"/>
      <c r="DZ82" s="74"/>
      <c r="EA82" s="241" t="s">
        <v>1090</v>
      </c>
    </row>
    <row r="83" spans="1:131" x14ac:dyDescent="0.4">
      <c r="A83" s="4" t="s">
        <v>168</v>
      </c>
      <c r="B83" s="5" t="s">
        <v>190</v>
      </c>
      <c r="C83" s="8">
        <v>54.310867000000002</v>
      </c>
      <c r="D83" s="8">
        <v>-117.606707</v>
      </c>
      <c r="E83" s="7" t="s">
        <v>170</v>
      </c>
      <c r="F83" s="5" t="s">
        <v>171</v>
      </c>
      <c r="G83" s="7" t="s">
        <v>184</v>
      </c>
      <c r="H83" s="4" t="s">
        <v>173</v>
      </c>
      <c r="I83" s="52"/>
      <c r="J83" s="53"/>
      <c r="K83" s="36">
        <v>2510</v>
      </c>
      <c r="L83" s="38">
        <v>2700</v>
      </c>
      <c r="M83" s="54"/>
      <c r="N83" s="55"/>
      <c r="O83" s="56">
        <v>6.5000000000000002E-2</v>
      </c>
      <c r="P83" s="59">
        <v>4.1100000000000002E-19</v>
      </c>
      <c r="Q83" s="59">
        <v>5.0000000000000004E-18</v>
      </c>
      <c r="R83" s="165">
        <f t="shared" si="7"/>
        <v>2.7055000000000004E-18</v>
      </c>
      <c r="S83" s="54"/>
      <c r="T83" s="55"/>
      <c r="U83" s="56">
        <v>50</v>
      </c>
      <c r="V83" s="55"/>
      <c r="W83" s="55"/>
      <c r="X83" s="56">
        <v>0.25</v>
      </c>
      <c r="Y83" s="54"/>
      <c r="Z83" s="56"/>
      <c r="AA83" s="54"/>
      <c r="AB83" s="56"/>
      <c r="AC83" s="54"/>
      <c r="AD83" s="56">
        <v>0.4</v>
      </c>
      <c r="AE83" s="54"/>
      <c r="AF83" s="56"/>
      <c r="AG83" s="55"/>
      <c r="AH83" s="56"/>
      <c r="AI83" s="54"/>
      <c r="AJ83" s="56"/>
      <c r="AK83" s="55"/>
      <c r="AL83" s="56"/>
      <c r="AM83" s="54"/>
      <c r="AN83" s="56"/>
      <c r="AO83" s="59"/>
      <c r="AP83" s="60"/>
      <c r="AQ83" s="61"/>
      <c r="AR83" s="62">
        <v>3840</v>
      </c>
      <c r="AS83" s="38" t="s">
        <v>535</v>
      </c>
      <c r="AT83" s="63">
        <v>2.5000000000000001E-2</v>
      </c>
      <c r="AU83" s="64">
        <v>0</v>
      </c>
      <c r="AV83" s="64"/>
      <c r="AW83" s="53">
        <f t="shared" si="8"/>
        <v>85</v>
      </c>
      <c r="AX83" s="65">
        <v>2.9159999999999998E-2</v>
      </c>
      <c r="AY83" s="64">
        <v>0</v>
      </c>
      <c r="AZ83" s="64"/>
      <c r="BA83" s="53">
        <f t="shared" si="9"/>
        <v>99.143999999999991</v>
      </c>
      <c r="BB83" s="63">
        <v>3.2099999999999997E-2</v>
      </c>
      <c r="BC83" s="64">
        <v>-41.8</v>
      </c>
      <c r="BD83" s="64"/>
      <c r="BE83" s="53">
        <f t="shared" si="10"/>
        <v>109.13999999999999</v>
      </c>
      <c r="BF83" s="36" t="s">
        <v>819</v>
      </c>
      <c r="BG83" s="38" t="s">
        <v>820</v>
      </c>
      <c r="BH83" s="63">
        <v>2.9100000000000001E-2</v>
      </c>
      <c r="BI83" s="64">
        <v>-39.6</v>
      </c>
      <c r="BJ83" s="64"/>
      <c r="BK83" s="53">
        <f t="shared" si="11"/>
        <v>59.339999999999996</v>
      </c>
      <c r="BL83" s="66"/>
      <c r="BM83" s="62"/>
      <c r="BN83" s="37" t="s">
        <v>641</v>
      </c>
      <c r="BO83" s="38"/>
      <c r="BP83" s="36"/>
      <c r="BQ83" s="38">
        <v>90</v>
      </c>
      <c r="BR83" s="37"/>
      <c r="BS83" s="38"/>
      <c r="BT83" s="35"/>
      <c r="BU83" s="38" t="s">
        <v>535</v>
      </c>
      <c r="BV83" s="66"/>
      <c r="BW83" s="62"/>
      <c r="BX83" s="66"/>
      <c r="BY83" s="62"/>
      <c r="BZ83" s="67"/>
      <c r="CA83" s="61"/>
      <c r="CB83" s="62"/>
      <c r="CC83" s="37"/>
      <c r="CD83" s="38"/>
      <c r="CE83" s="64"/>
      <c r="CF83" s="53"/>
      <c r="CG83" s="37"/>
      <c r="CH83" s="38"/>
      <c r="CI83" s="36"/>
      <c r="CJ83" s="38"/>
      <c r="CK83" s="37"/>
      <c r="CL83" s="38"/>
      <c r="CM83" s="36"/>
      <c r="CN83" s="38"/>
      <c r="CO83" s="37"/>
      <c r="CP83" s="38"/>
      <c r="CQ83" s="37"/>
      <c r="CR83" s="38"/>
      <c r="CS83" s="37"/>
      <c r="CT83" s="38"/>
      <c r="CU83" s="66"/>
      <c r="CV83" s="61">
        <v>3400</v>
      </c>
      <c r="CW83" s="35"/>
      <c r="CX83" s="115"/>
      <c r="CY83" s="36" t="s">
        <v>815</v>
      </c>
      <c r="CZ83" s="35">
        <v>100</v>
      </c>
      <c r="DA83" s="60">
        <v>0.15659999999999999</v>
      </c>
      <c r="DB83" s="69"/>
      <c r="DC83" s="60"/>
      <c r="DD83" s="69"/>
      <c r="DE83" s="60"/>
      <c r="DF83" s="70">
        <v>62.6</v>
      </c>
      <c r="DG83" s="70"/>
      <c r="DH83" s="71"/>
      <c r="DI83" s="64"/>
      <c r="DJ83" s="35"/>
      <c r="DK83" s="61"/>
      <c r="DL83" s="61"/>
      <c r="DM83" s="72"/>
      <c r="DN83" s="64"/>
      <c r="DO83" s="72"/>
      <c r="DP83" s="64">
        <v>0.9</v>
      </c>
      <c r="DQ83" s="72"/>
      <c r="DR83" s="64"/>
      <c r="DS83" s="70">
        <v>3.1</v>
      </c>
      <c r="DT83" s="36" t="s">
        <v>541</v>
      </c>
      <c r="DU83" s="66"/>
      <c r="DV83" s="62"/>
      <c r="DW83" s="62"/>
      <c r="DX83" s="73">
        <v>42005</v>
      </c>
      <c r="DY83" s="4"/>
      <c r="DZ83" s="74"/>
      <c r="EA83" s="241" t="s">
        <v>1090</v>
      </c>
    </row>
    <row r="84" spans="1:131" x14ac:dyDescent="0.4">
      <c r="A84" s="4" t="s">
        <v>168</v>
      </c>
      <c r="B84" s="5" t="s">
        <v>191</v>
      </c>
      <c r="C84" s="8">
        <v>54.340299999999999</v>
      </c>
      <c r="D84" s="8">
        <v>-117.5639</v>
      </c>
      <c r="E84" s="7" t="s">
        <v>170</v>
      </c>
      <c r="F84" s="5" t="s">
        <v>171</v>
      </c>
      <c r="G84" s="7" t="s">
        <v>184</v>
      </c>
      <c r="H84" s="4" t="s">
        <v>173</v>
      </c>
      <c r="I84" s="52"/>
      <c r="J84" s="53"/>
      <c r="K84" s="36">
        <v>2510</v>
      </c>
      <c r="L84" s="38">
        <v>2700</v>
      </c>
      <c r="M84" s="54"/>
      <c r="N84" s="55"/>
      <c r="O84" s="56">
        <v>6.5000000000000002E-2</v>
      </c>
      <c r="P84" s="59">
        <v>4.1100000000000002E-19</v>
      </c>
      <c r="Q84" s="59">
        <v>5.0000000000000004E-18</v>
      </c>
      <c r="R84" s="165">
        <f t="shared" si="7"/>
        <v>2.7055000000000004E-18</v>
      </c>
      <c r="S84" s="54"/>
      <c r="T84" s="55"/>
      <c r="U84" s="56">
        <v>50</v>
      </c>
      <c r="V84" s="55"/>
      <c r="W84" s="55"/>
      <c r="X84" s="56">
        <v>0.25</v>
      </c>
      <c r="Y84" s="54"/>
      <c r="Z84" s="56"/>
      <c r="AA84" s="54"/>
      <c r="AB84" s="56"/>
      <c r="AC84" s="54"/>
      <c r="AD84" s="56">
        <v>0.4</v>
      </c>
      <c r="AE84" s="54"/>
      <c r="AF84" s="56"/>
      <c r="AG84" s="55"/>
      <c r="AH84" s="56"/>
      <c r="AI84" s="54"/>
      <c r="AJ84" s="56"/>
      <c r="AK84" s="55"/>
      <c r="AL84" s="56"/>
      <c r="AM84" s="54"/>
      <c r="AN84" s="56"/>
      <c r="AO84" s="59"/>
      <c r="AP84" s="60"/>
      <c r="AQ84" s="61"/>
      <c r="AR84" s="62">
        <v>3840</v>
      </c>
      <c r="AS84" s="38" t="s">
        <v>535</v>
      </c>
      <c r="AT84" s="63">
        <v>2.5000000000000001E-2</v>
      </c>
      <c r="AU84" s="64">
        <v>0</v>
      </c>
      <c r="AV84" s="64"/>
      <c r="AW84" s="53">
        <f t="shared" si="8"/>
        <v>85</v>
      </c>
      <c r="AX84" s="65">
        <v>2.9159999999999998E-2</v>
      </c>
      <c r="AY84" s="64">
        <v>0</v>
      </c>
      <c r="AZ84" s="64"/>
      <c r="BA84" s="53">
        <f t="shared" si="9"/>
        <v>99.143999999999991</v>
      </c>
      <c r="BB84" s="63">
        <v>3.2099999999999997E-2</v>
      </c>
      <c r="BC84" s="64">
        <v>-41.8</v>
      </c>
      <c r="BD84" s="64"/>
      <c r="BE84" s="53">
        <f t="shared" si="10"/>
        <v>109.13999999999999</v>
      </c>
      <c r="BF84" s="36" t="s">
        <v>819</v>
      </c>
      <c r="BG84" s="38" t="s">
        <v>820</v>
      </c>
      <c r="BH84" s="63">
        <v>2.9100000000000001E-2</v>
      </c>
      <c r="BI84" s="64">
        <v>-39.6</v>
      </c>
      <c r="BJ84" s="64"/>
      <c r="BK84" s="53">
        <f t="shared" si="11"/>
        <v>59.339999999999996</v>
      </c>
      <c r="BL84" s="66"/>
      <c r="BM84" s="62"/>
      <c r="BN84" s="37" t="s">
        <v>641</v>
      </c>
      <c r="BO84" s="38"/>
      <c r="BP84" s="36"/>
      <c r="BQ84" s="38">
        <v>90</v>
      </c>
      <c r="BR84" s="37"/>
      <c r="BS84" s="38"/>
      <c r="BT84" s="35"/>
      <c r="BU84" s="38" t="s">
        <v>535</v>
      </c>
      <c r="BV84" s="66"/>
      <c r="BW84" s="62"/>
      <c r="BX84" s="66"/>
      <c r="BY84" s="62"/>
      <c r="BZ84" s="67"/>
      <c r="CA84" s="61"/>
      <c r="CB84" s="62"/>
      <c r="CC84" s="37"/>
      <c r="CD84" s="38"/>
      <c r="CE84" s="64"/>
      <c r="CF84" s="53"/>
      <c r="CG84" s="37"/>
      <c r="CH84" s="38"/>
      <c r="CI84" s="36"/>
      <c r="CJ84" s="38"/>
      <c r="CK84" s="37"/>
      <c r="CL84" s="38"/>
      <c r="CM84" s="36"/>
      <c r="CN84" s="38"/>
      <c r="CO84" s="37"/>
      <c r="CP84" s="38"/>
      <c r="CQ84" s="37"/>
      <c r="CR84" s="38"/>
      <c r="CS84" s="37"/>
      <c r="CT84" s="38"/>
      <c r="CU84" s="66"/>
      <c r="CV84" s="61">
        <v>3400</v>
      </c>
      <c r="CW84" s="35"/>
      <c r="CX84" s="115"/>
      <c r="CY84" s="36" t="s">
        <v>815</v>
      </c>
      <c r="CZ84" s="35">
        <v>100</v>
      </c>
      <c r="DA84" s="60">
        <v>0.15659999999999999</v>
      </c>
      <c r="DB84" s="69"/>
      <c r="DC84" s="60"/>
      <c r="DD84" s="69"/>
      <c r="DE84" s="60"/>
      <c r="DF84" s="70">
        <v>62.6</v>
      </c>
      <c r="DG84" s="70"/>
      <c r="DH84" s="71"/>
      <c r="DI84" s="64"/>
      <c r="DJ84" s="35"/>
      <c r="DK84" s="61"/>
      <c r="DL84" s="61"/>
      <c r="DM84" s="72"/>
      <c r="DN84" s="64"/>
      <c r="DO84" s="72"/>
      <c r="DP84" s="64">
        <v>0.9</v>
      </c>
      <c r="DQ84" s="72"/>
      <c r="DR84" s="64"/>
      <c r="DS84" s="70">
        <v>2.8</v>
      </c>
      <c r="DT84" s="36" t="s">
        <v>541</v>
      </c>
      <c r="DU84" s="66"/>
      <c r="DV84" s="62"/>
      <c r="DW84" s="62"/>
      <c r="DX84" s="73">
        <v>42005</v>
      </c>
      <c r="DY84" s="4"/>
      <c r="DZ84" s="74"/>
      <c r="EA84" s="241" t="s">
        <v>1090</v>
      </c>
    </row>
    <row r="85" spans="1:131" x14ac:dyDescent="0.4">
      <c r="A85" s="4" t="s">
        <v>168</v>
      </c>
      <c r="B85" s="5" t="s">
        <v>192</v>
      </c>
      <c r="C85" s="8">
        <v>54.326056000000001</v>
      </c>
      <c r="D85" s="8">
        <v>-116.706017</v>
      </c>
      <c r="E85" s="7" t="s">
        <v>170</v>
      </c>
      <c r="F85" s="5" t="s">
        <v>171</v>
      </c>
      <c r="G85" s="7" t="s">
        <v>184</v>
      </c>
      <c r="H85" s="4" t="s">
        <v>173</v>
      </c>
      <c r="I85" s="52"/>
      <c r="J85" s="53"/>
      <c r="K85" s="36">
        <v>2510</v>
      </c>
      <c r="L85" s="38">
        <v>2700</v>
      </c>
      <c r="M85" s="54"/>
      <c r="N85" s="55"/>
      <c r="O85" s="56">
        <v>6.5000000000000002E-2</v>
      </c>
      <c r="P85" s="59">
        <v>4.1100000000000002E-19</v>
      </c>
      <c r="Q85" s="59">
        <v>5.0000000000000004E-18</v>
      </c>
      <c r="R85" s="165">
        <f t="shared" si="7"/>
        <v>2.7055000000000004E-18</v>
      </c>
      <c r="S85" s="54"/>
      <c r="T85" s="55"/>
      <c r="U85" s="56">
        <v>50</v>
      </c>
      <c r="V85" s="55"/>
      <c r="W85" s="55"/>
      <c r="X85" s="56">
        <v>0.25</v>
      </c>
      <c r="Y85" s="54"/>
      <c r="Z85" s="56"/>
      <c r="AA85" s="54"/>
      <c r="AB85" s="56"/>
      <c r="AC85" s="54"/>
      <c r="AD85" s="56">
        <v>0.4</v>
      </c>
      <c r="AE85" s="54"/>
      <c r="AF85" s="56"/>
      <c r="AG85" s="55"/>
      <c r="AH85" s="56"/>
      <c r="AI85" s="54"/>
      <c r="AJ85" s="56"/>
      <c r="AK85" s="55"/>
      <c r="AL85" s="56"/>
      <c r="AM85" s="54"/>
      <c r="AN85" s="56"/>
      <c r="AO85" s="59"/>
      <c r="AP85" s="60"/>
      <c r="AQ85" s="61"/>
      <c r="AR85" s="62">
        <v>3840</v>
      </c>
      <c r="AS85" s="38" t="s">
        <v>535</v>
      </c>
      <c r="AT85" s="63">
        <v>2.5000000000000001E-2</v>
      </c>
      <c r="AU85" s="64">
        <v>0</v>
      </c>
      <c r="AV85" s="64"/>
      <c r="AW85" s="53">
        <f t="shared" si="8"/>
        <v>85</v>
      </c>
      <c r="AX85" s="65">
        <v>2.9159999999999998E-2</v>
      </c>
      <c r="AY85" s="64">
        <v>0</v>
      </c>
      <c r="AZ85" s="64"/>
      <c r="BA85" s="53">
        <f t="shared" si="9"/>
        <v>99.143999999999991</v>
      </c>
      <c r="BB85" s="63">
        <v>3.2099999999999997E-2</v>
      </c>
      <c r="BC85" s="64">
        <v>-41.8</v>
      </c>
      <c r="BD85" s="64"/>
      <c r="BE85" s="53">
        <f t="shared" si="10"/>
        <v>109.13999999999999</v>
      </c>
      <c r="BF85" s="36" t="s">
        <v>819</v>
      </c>
      <c r="BG85" s="38" t="s">
        <v>820</v>
      </c>
      <c r="BH85" s="63">
        <v>2.9100000000000001E-2</v>
      </c>
      <c r="BI85" s="64">
        <v>-39.6</v>
      </c>
      <c r="BJ85" s="64"/>
      <c r="BK85" s="53">
        <f t="shared" si="11"/>
        <v>59.339999999999996</v>
      </c>
      <c r="BL85" s="66"/>
      <c r="BM85" s="62"/>
      <c r="BN85" s="37" t="s">
        <v>641</v>
      </c>
      <c r="BO85" s="38"/>
      <c r="BP85" s="36"/>
      <c r="BQ85" s="38">
        <v>90</v>
      </c>
      <c r="BR85" s="37"/>
      <c r="BS85" s="38"/>
      <c r="BT85" s="35"/>
      <c r="BU85" s="38" t="s">
        <v>535</v>
      </c>
      <c r="BV85" s="66"/>
      <c r="BW85" s="62"/>
      <c r="BX85" s="66"/>
      <c r="BY85" s="62"/>
      <c r="BZ85" s="67"/>
      <c r="CA85" s="61"/>
      <c r="CB85" s="62"/>
      <c r="CC85" s="37"/>
      <c r="CD85" s="38"/>
      <c r="CE85" s="64"/>
      <c r="CF85" s="53"/>
      <c r="CG85" s="37"/>
      <c r="CH85" s="38"/>
      <c r="CI85" s="36"/>
      <c r="CJ85" s="38"/>
      <c r="CK85" s="37"/>
      <c r="CL85" s="38"/>
      <c r="CM85" s="36"/>
      <c r="CN85" s="38"/>
      <c r="CO85" s="37"/>
      <c r="CP85" s="38"/>
      <c r="CQ85" s="37"/>
      <c r="CR85" s="38"/>
      <c r="CS85" s="37"/>
      <c r="CT85" s="38"/>
      <c r="CU85" s="66"/>
      <c r="CV85" s="61">
        <v>3400</v>
      </c>
      <c r="CW85" s="35"/>
      <c r="CX85" s="115">
        <v>42309</v>
      </c>
      <c r="CY85" s="36" t="s">
        <v>815</v>
      </c>
      <c r="CZ85" s="35">
        <v>100</v>
      </c>
      <c r="DA85" s="60">
        <v>0.15659999999999999</v>
      </c>
      <c r="DB85" s="69"/>
      <c r="DC85" s="60"/>
      <c r="DD85" s="69"/>
      <c r="DE85" s="60"/>
      <c r="DF85" s="70">
        <v>62.6</v>
      </c>
      <c r="DG85" s="70"/>
      <c r="DH85" s="71">
        <v>42309</v>
      </c>
      <c r="DI85" s="64"/>
      <c r="DJ85" s="35"/>
      <c r="DK85" s="61"/>
      <c r="DL85" s="61"/>
      <c r="DM85" s="72"/>
      <c r="DN85" s="64"/>
      <c r="DO85" s="72"/>
      <c r="DP85" s="64">
        <v>0.9</v>
      </c>
      <c r="DQ85" s="72"/>
      <c r="DR85" s="64"/>
      <c r="DS85" s="70">
        <v>3</v>
      </c>
      <c r="DT85" s="36" t="s">
        <v>541</v>
      </c>
      <c r="DU85" s="66"/>
      <c r="DV85" s="62"/>
      <c r="DW85" s="62"/>
      <c r="DX85" s="73">
        <v>42005</v>
      </c>
      <c r="DY85" s="4"/>
      <c r="DZ85" s="74"/>
      <c r="EA85" s="241" t="s">
        <v>1090</v>
      </c>
    </row>
    <row r="86" spans="1:131" x14ac:dyDescent="0.4">
      <c r="A86" s="4" t="s">
        <v>168</v>
      </c>
      <c r="B86" s="5" t="s">
        <v>193</v>
      </c>
      <c r="C86" s="8">
        <v>54.392986000000001</v>
      </c>
      <c r="D86" s="8">
        <v>-117.260448</v>
      </c>
      <c r="E86" s="7" t="s">
        <v>170</v>
      </c>
      <c r="F86" s="5" t="s">
        <v>171</v>
      </c>
      <c r="G86" s="7" t="s">
        <v>184</v>
      </c>
      <c r="H86" s="4" t="s">
        <v>173</v>
      </c>
      <c r="I86" s="52"/>
      <c r="J86" s="53"/>
      <c r="K86" s="36">
        <v>2510</v>
      </c>
      <c r="L86" s="38">
        <v>2700</v>
      </c>
      <c r="M86" s="54"/>
      <c r="N86" s="55"/>
      <c r="O86" s="56">
        <v>6.5000000000000002E-2</v>
      </c>
      <c r="P86" s="59">
        <v>4.1100000000000002E-19</v>
      </c>
      <c r="Q86" s="59">
        <v>5.0000000000000004E-18</v>
      </c>
      <c r="R86" s="165">
        <f t="shared" si="7"/>
        <v>2.7055000000000004E-18</v>
      </c>
      <c r="S86" s="54"/>
      <c r="T86" s="55"/>
      <c r="U86" s="56">
        <v>50</v>
      </c>
      <c r="V86" s="55"/>
      <c r="W86" s="55"/>
      <c r="X86" s="56">
        <v>0.25</v>
      </c>
      <c r="Y86" s="54"/>
      <c r="Z86" s="56"/>
      <c r="AA86" s="54"/>
      <c r="AB86" s="56"/>
      <c r="AC86" s="54"/>
      <c r="AD86" s="56">
        <v>0.4</v>
      </c>
      <c r="AE86" s="54"/>
      <c r="AF86" s="56"/>
      <c r="AG86" s="55"/>
      <c r="AH86" s="56"/>
      <c r="AI86" s="54"/>
      <c r="AJ86" s="56"/>
      <c r="AK86" s="55"/>
      <c r="AL86" s="56"/>
      <c r="AM86" s="54"/>
      <c r="AN86" s="56"/>
      <c r="AO86" s="59"/>
      <c r="AP86" s="60"/>
      <c r="AQ86" s="61"/>
      <c r="AR86" s="62">
        <v>3840</v>
      </c>
      <c r="AS86" s="38" t="s">
        <v>535</v>
      </c>
      <c r="AT86" s="63">
        <v>2.5000000000000001E-2</v>
      </c>
      <c r="AU86" s="64">
        <v>0</v>
      </c>
      <c r="AV86" s="64"/>
      <c r="AW86" s="53">
        <f t="shared" si="8"/>
        <v>85</v>
      </c>
      <c r="AX86" s="65">
        <v>2.9159999999999998E-2</v>
      </c>
      <c r="AY86" s="64">
        <v>0</v>
      </c>
      <c r="AZ86" s="64"/>
      <c r="BA86" s="53">
        <f t="shared" si="9"/>
        <v>99.143999999999991</v>
      </c>
      <c r="BB86" s="63">
        <v>3.2099999999999997E-2</v>
      </c>
      <c r="BC86" s="64">
        <v>-41.8</v>
      </c>
      <c r="BD86" s="64"/>
      <c r="BE86" s="53">
        <f t="shared" si="10"/>
        <v>109.13999999999999</v>
      </c>
      <c r="BF86" s="36" t="s">
        <v>819</v>
      </c>
      <c r="BG86" s="38" t="s">
        <v>820</v>
      </c>
      <c r="BH86" s="63">
        <v>2.9100000000000001E-2</v>
      </c>
      <c r="BI86" s="64">
        <v>-39.6</v>
      </c>
      <c r="BJ86" s="64"/>
      <c r="BK86" s="53">
        <f t="shared" si="11"/>
        <v>59.339999999999996</v>
      </c>
      <c r="BL86" s="66"/>
      <c r="BM86" s="62"/>
      <c r="BN86" s="37" t="s">
        <v>699</v>
      </c>
      <c r="BO86" s="38"/>
      <c r="BP86" s="36"/>
      <c r="BQ86" s="38">
        <v>90</v>
      </c>
      <c r="BR86" s="37"/>
      <c r="BS86" s="38"/>
      <c r="BT86" s="35"/>
      <c r="BU86" s="38" t="s">
        <v>535</v>
      </c>
      <c r="BV86" s="66"/>
      <c r="BW86" s="62">
        <v>45</v>
      </c>
      <c r="BX86" s="66"/>
      <c r="BY86" s="62">
        <v>5</v>
      </c>
      <c r="BZ86" s="67"/>
      <c r="CA86" s="61"/>
      <c r="CB86" s="62"/>
      <c r="CC86" s="37"/>
      <c r="CD86" s="38"/>
      <c r="CE86" s="64"/>
      <c r="CF86" s="53"/>
      <c r="CG86" s="37"/>
      <c r="CH86" s="60">
        <v>1E-14</v>
      </c>
      <c r="CI86" s="36"/>
      <c r="CJ86" s="38"/>
      <c r="CK86" s="37"/>
      <c r="CL86" s="38"/>
      <c r="CM86" s="36"/>
      <c r="CN86" s="38"/>
      <c r="CO86" s="37"/>
      <c r="CP86" s="38"/>
      <c r="CQ86" s="37"/>
      <c r="CR86" s="38"/>
      <c r="CS86" s="37"/>
      <c r="CT86" s="38"/>
      <c r="CU86" s="66"/>
      <c r="CV86" s="61">
        <v>3400</v>
      </c>
      <c r="CW86" s="35"/>
      <c r="CX86" s="115">
        <v>42370</v>
      </c>
      <c r="CY86" s="36" t="s">
        <v>815</v>
      </c>
      <c r="CZ86" s="35">
        <v>100</v>
      </c>
      <c r="DA86" s="60">
        <v>0.13930000000000001</v>
      </c>
      <c r="DB86" s="69">
        <v>31230</v>
      </c>
      <c r="DC86" s="60"/>
      <c r="DD86" s="69">
        <v>29046</v>
      </c>
      <c r="DE86" s="60"/>
      <c r="DF86" s="70">
        <v>70</v>
      </c>
      <c r="DG86" s="70"/>
      <c r="DH86" s="71">
        <v>42370</v>
      </c>
      <c r="DI86" s="64"/>
      <c r="DJ86" s="35"/>
      <c r="DK86" s="61">
        <v>3300</v>
      </c>
      <c r="DL86" s="61">
        <v>4300</v>
      </c>
      <c r="DM86" s="72"/>
      <c r="DN86" s="64"/>
      <c r="DO86" s="72"/>
      <c r="DP86" s="64">
        <v>0.86</v>
      </c>
      <c r="DQ86" s="72"/>
      <c r="DR86" s="129"/>
      <c r="DS86" s="70">
        <v>4.0999999999999996</v>
      </c>
      <c r="DT86" s="36" t="s">
        <v>541</v>
      </c>
      <c r="DU86" s="66"/>
      <c r="DV86" s="62">
        <v>2900</v>
      </c>
      <c r="DW86" s="62"/>
      <c r="DX86" s="73">
        <v>42381</v>
      </c>
      <c r="DY86" s="4" t="s">
        <v>822</v>
      </c>
      <c r="DZ86" s="74" t="s">
        <v>823</v>
      </c>
      <c r="EA86" s="241" t="s">
        <v>1090</v>
      </c>
    </row>
    <row r="87" spans="1:131" x14ac:dyDescent="0.4">
      <c r="A87" s="4" t="s">
        <v>168</v>
      </c>
      <c r="B87" s="5" t="s">
        <v>194</v>
      </c>
      <c r="C87" s="8">
        <v>54.475904</v>
      </c>
      <c r="D87" s="8">
        <v>-117.32051</v>
      </c>
      <c r="E87" s="7" t="s">
        <v>170</v>
      </c>
      <c r="F87" s="5" t="s">
        <v>171</v>
      </c>
      <c r="G87" s="7" t="s">
        <v>184</v>
      </c>
      <c r="H87" s="4" t="s">
        <v>173</v>
      </c>
      <c r="I87" s="52"/>
      <c r="J87" s="53"/>
      <c r="K87" s="36">
        <v>2510</v>
      </c>
      <c r="L87" s="38">
        <v>2700</v>
      </c>
      <c r="M87" s="54"/>
      <c r="N87" s="55"/>
      <c r="O87" s="56">
        <v>6.5000000000000002E-2</v>
      </c>
      <c r="P87" s="59">
        <v>4.1100000000000002E-19</v>
      </c>
      <c r="Q87" s="59">
        <v>5.0000000000000004E-18</v>
      </c>
      <c r="R87" s="165">
        <f t="shared" si="7"/>
        <v>2.7055000000000004E-18</v>
      </c>
      <c r="S87" s="54"/>
      <c r="T87" s="55"/>
      <c r="U87" s="56">
        <v>50</v>
      </c>
      <c r="V87" s="55"/>
      <c r="W87" s="55"/>
      <c r="X87" s="56">
        <v>0.25</v>
      </c>
      <c r="Y87" s="54"/>
      <c r="Z87" s="56"/>
      <c r="AA87" s="54"/>
      <c r="AB87" s="56"/>
      <c r="AC87" s="54"/>
      <c r="AD87" s="56">
        <v>0.4</v>
      </c>
      <c r="AE87" s="54"/>
      <c r="AF87" s="56"/>
      <c r="AG87" s="55"/>
      <c r="AH87" s="56"/>
      <c r="AI87" s="54"/>
      <c r="AJ87" s="56"/>
      <c r="AK87" s="55"/>
      <c r="AL87" s="56"/>
      <c r="AM87" s="54"/>
      <c r="AN87" s="56"/>
      <c r="AO87" s="59"/>
      <c r="AP87" s="60"/>
      <c r="AQ87" s="61"/>
      <c r="AR87" s="62">
        <v>3840</v>
      </c>
      <c r="AS87" s="38" t="s">
        <v>535</v>
      </c>
      <c r="AT87" s="63">
        <v>2.5000000000000001E-2</v>
      </c>
      <c r="AU87" s="64">
        <v>0</v>
      </c>
      <c r="AV87" s="64"/>
      <c r="AW87" s="53">
        <f t="shared" si="8"/>
        <v>85</v>
      </c>
      <c r="AX87" s="65">
        <v>2.9159999999999998E-2</v>
      </c>
      <c r="AY87" s="64">
        <v>0</v>
      </c>
      <c r="AZ87" s="64"/>
      <c r="BA87" s="53">
        <f t="shared" si="9"/>
        <v>99.143999999999991</v>
      </c>
      <c r="BB87" s="63">
        <v>3.2099999999999997E-2</v>
      </c>
      <c r="BC87" s="64">
        <v>-41.8</v>
      </c>
      <c r="BD87" s="64"/>
      <c r="BE87" s="53">
        <f t="shared" si="10"/>
        <v>109.13999999999999</v>
      </c>
      <c r="BF87" s="36" t="s">
        <v>819</v>
      </c>
      <c r="BG87" s="38" t="s">
        <v>820</v>
      </c>
      <c r="BH87" s="63">
        <v>2.9100000000000001E-2</v>
      </c>
      <c r="BI87" s="64">
        <v>-39.6</v>
      </c>
      <c r="BJ87" s="64"/>
      <c r="BK87" s="53">
        <f t="shared" si="11"/>
        <v>59.339999999999996</v>
      </c>
      <c r="BL87" s="66"/>
      <c r="BM87" s="62"/>
      <c r="BN87" s="37" t="s">
        <v>641</v>
      </c>
      <c r="BO87" s="38"/>
      <c r="BP87" s="36"/>
      <c r="BQ87" s="38">
        <v>90</v>
      </c>
      <c r="BR87" s="37"/>
      <c r="BS87" s="38"/>
      <c r="BT87" s="35"/>
      <c r="BU87" s="38" t="s">
        <v>535</v>
      </c>
      <c r="BV87" s="66"/>
      <c r="BW87" s="62"/>
      <c r="BX87" s="66"/>
      <c r="BY87" s="62"/>
      <c r="BZ87" s="67"/>
      <c r="CA87" s="61"/>
      <c r="CB87" s="62"/>
      <c r="CC87" s="37"/>
      <c r="CD87" s="38"/>
      <c r="CE87" s="64"/>
      <c r="CF87" s="53"/>
      <c r="CG87" s="37"/>
      <c r="CH87" s="38"/>
      <c r="CI87" s="36"/>
      <c r="CJ87" s="38"/>
      <c r="CK87" s="37"/>
      <c r="CL87" s="38"/>
      <c r="CM87" s="36"/>
      <c r="CN87" s="38"/>
      <c r="CO87" s="37"/>
      <c r="CP87" s="38"/>
      <c r="CQ87" s="37"/>
      <c r="CR87" s="38"/>
      <c r="CS87" s="37"/>
      <c r="CT87" s="38"/>
      <c r="CU87" s="66"/>
      <c r="CV87" s="61">
        <v>3400</v>
      </c>
      <c r="CW87" s="35"/>
      <c r="CX87" s="115">
        <v>41671</v>
      </c>
      <c r="CY87" s="36" t="s">
        <v>815</v>
      </c>
      <c r="CZ87" s="35">
        <v>100</v>
      </c>
      <c r="DA87" s="60">
        <v>0.18329999999999999</v>
      </c>
      <c r="DB87" s="69"/>
      <c r="DC87" s="60"/>
      <c r="DD87" s="69"/>
      <c r="DE87" s="60"/>
      <c r="DF87" s="70">
        <v>60</v>
      </c>
      <c r="DG87" s="70"/>
      <c r="DH87" s="71"/>
      <c r="DI87" s="64"/>
      <c r="DJ87" s="35"/>
      <c r="DK87" s="61"/>
      <c r="DL87" s="61"/>
      <c r="DM87" s="72"/>
      <c r="DN87" s="64"/>
      <c r="DO87" s="72"/>
      <c r="DP87" s="64">
        <v>0.9</v>
      </c>
      <c r="DQ87" s="72"/>
      <c r="DR87" s="64"/>
      <c r="DS87" s="70">
        <v>3.18</v>
      </c>
      <c r="DT87" s="36" t="s">
        <v>541</v>
      </c>
      <c r="DU87" s="66">
        <v>4000</v>
      </c>
      <c r="DV87" s="62">
        <v>6200</v>
      </c>
      <c r="DW87" s="62">
        <v>3000</v>
      </c>
      <c r="DX87" s="73">
        <v>41679</v>
      </c>
      <c r="DY87" s="114"/>
      <c r="DZ87" s="74"/>
      <c r="EA87" s="241" t="s">
        <v>1090</v>
      </c>
    </row>
    <row r="88" spans="1:131" x14ac:dyDescent="0.4">
      <c r="A88" s="4" t="s">
        <v>168</v>
      </c>
      <c r="B88" s="5" t="s">
        <v>195</v>
      </c>
      <c r="C88" s="8">
        <v>54.389221999999997</v>
      </c>
      <c r="D88" s="8">
        <v>-117.214005</v>
      </c>
      <c r="E88" s="7" t="s">
        <v>170</v>
      </c>
      <c r="F88" s="5" t="s">
        <v>171</v>
      </c>
      <c r="G88" s="7" t="s">
        <v>184</v>
      </c>
      <c r="H88" s="4" t="s">
        <v>173</v>
      </c>
      <c r="I88" s="52"/>
      <c r="J88" s="53"/>
      <c r="K88" s="36">
        <v>2510</v>
      </c>
      <c r="L88" s="38">
        <v>2700</v>
      </c>
      <c r="M88" s="54"/>
      <c r="N88" s="55"/>
      <c r="O88" s="56">
        <v>6.5000000000000002E-2</v>
      </c>
      <c r="P88" s="59">
        <v>4.1100000000000002E-19</v>
      </c>
      <c r="Q88" s="59">
        <v>5.0000000000000004E-18</v>
      </c>
      <c r="R88" s="165">
        <f t="shared" si="7"/>
        <v>2.7055000000000004E-18</v>
      </c>
      <c r="S88" s="54"/>
      <c r="T88" s="55"/>
      <c r="U88" s="56">
        <v>50</v>
      </c>
      <c r="V88" s="55"/>
      <c r="W88" s="55"/>
      <c r="X88" s="56">
        <v>0.25</v>
      </c>
      <c r="Y88" s="54"/>
      <c r="Z88" s="56"/>
      <c r="AA88" s="54"/>
      <c r="AB88" s="56"/>
      <c r="AC88" s="54"/>
      <c r="AD88" s="56">
        <v>0.4</v>
      </c>
      <c r="AE88" s="54"/>
      <c r="AF88" s="56"/>
      <c r="AG88" s="55"/>
      <c r="AH88" s="56"/>
      <c r="AI88" s="54"/>
      <c r="AJ88" s="56"/>
      <c r="AK88" s="55"/>
      <c r="AL88" s="56"/>
      <c r="AM88" s="54"/>
      <c r="AN88" s="56"/>
      <c r="AO88" s="59"/>
      <c r="AP88" s="60"/>
      <c r="AQ88" s="61"/>
      <c r="AR88" s="62">
        <v>3840</v>
      </c>
      <c r="AS88" s="38" t="s">
        <v>535</v>
      </c>
      <c r="AT88" s="63">
        <v>2.5000000000000001E-2</v>
      </c>
      <c r="AU88" s="64">
        <v>0</v>
      </c>
      <c r="AV88" s="64"/>
      <c r="AW88" s="53">
        <f t="shared" si="8"/>
        <v>85</v>
      </c>
      <c r="AX88" s="65">
        <v>2.9159999999999998E-2</v>
      </c>
      <c r="AY88" s="64">
        <v>0</v>
      </c>
      <c r="AZ88" s="64"/>
      <c r="BA88" s="53">
        <f t="shared" si="9"/>
        <v>99.143999999999991</v>
      </c>
      <c r="BB88" s="63">
        <v>3.2099999999999997E-2</v>
      </c>
      <c r="BC88" s="64">
        <v>-41.8</v>
      </c>
      <c r="BD88" s="64"/>
      <c r="BE88" s="53">
        <f t="shared" si="10"/>
        <v>109.13999999999999</v>
      </c>
      <c r="BF88" s="36" t="s">
        <v>819</v>
      </c>
      <c r="BG88" s="38" t="s">
        <v>820</v>
      </c>
      <c r="BH88" s="63">
        <v>2.9100000000000001E-2</v>
      </c>
      <c r="BI88" s="64">
        <v>-39.6</v>
      </c>
      <c r="BJ88" s="64"/>
      <c r="BK88" s="53">
        <f t="shared" si="11"/>
        <v>59.339999999999996</v>
      </c>
      <c r="BL88" s="66"/>
      <c r="BM88" s="62"/>
      <c r="BN88" s="37" t="s">
        <v>641</v>
      </c>
      <c r="BO88" s="38"/>
      <c r="BP88" s="36"/>
      <c r="BQ88" s="38">
        <v>90</v>
      </c>
      <c r="BR88" s="37"/>
      <c r="BS88" s="38"/>
      <c r="BT88" s="35"/>
      <c r="BU88" s="38" t="s">
        <v>535</v>
      </c>
      <c r="BV88" s="66"/>
      <c r="BW88" s="62"/>
      <c r="BX88" s="66"/>
      <c r="BY88" s="62"/>
      <c r="BZ88" s="67"/>
      <c r="CA88" s="61"/>
      <c r="CB88" s="62"/>
      <c r="CC88" s="37"/>
      <c r="CD88" s="38"/>
      <c r="CE88" s="64"/>
      <c r="CF88" s="53"/>
      <c r="CG88" s="37"/>
      <c r="CH88" s="38"/>
      <c r="CI88" s="36"/>
      <c r="CJ88" s="38"/>
      <c r="CK88" s="37"/>
      <c r="CL88" s="38"/>
      <c r="CM88" s="36"/>
      <c r="CN88" s="38"/>
      <c r="CO88" s="37"/>
      <c r="CP88" s="38"/>
      <c r="CQ88" s="37"/>
      <c r="CR88" s="38"/>
      <c r="CS88" s="37"/>
      <c r="CT88" s="38"/>
      <c r="CU88" s="66"/>
      <c r="CV88" s="61">
        <v>3400</v>
      </c>
      <c r="CW88" s="35"/>
      <c r="CX88" s="115">
        <v>41699</v>
      </c>
      <c r="CY88" s="36" t="s">
        <v>815</v>
      </c>
      <c r="CZ88" s="35">
        <v>100</v>
      </c>
      <c r="DA88" s="60">
        <v>0.18329999999999999</v>
      </c>
      <c r="DB88" s="69"/>
      <c r="DC88" s="60"/>
      <c r="DD88" s="69"/>
      <c r="DE88" s="60"/>
      <c r="DF88" s="70">
        <v>66</v>
      </c>
      <c r="DG88" s="70"/>
      <c r="DH88" s="71"/>
      <c r="DI88" s="64"/>
      <c r="DJ88" s="35"/>
      <c r="DK88" s="61"/>
      <c r="DL88" s="61"/>
      <c r="DM88" s="72"/>
      <c r="DN88" s="64"/>
      <c r="DO88" s="72"/>
      <c r="DP88" s="64">
        <v>0.9</v>
      </c>
      <c r="DQ88" s="72"/>
      <c r="DR88" s="64"/>
      <c r="DS88" s="70">
        <v>3.2</v>
      </c>
      <c r="DT88" s="36" t="s">
        <v>541</v>
      </c>
      <c r="DU88" s="66"/>
      <c r="DV88" s="62"/>
      <c r="DW88" s="166"/>
      <c r="DX88" s="73">
        <v>41640</v>
      </c>
      <c r="DY88" s="4"/>
      <c r="DZ88" s="74"/>
      <c r="EA88" s="241" t="s">
        <v>1090</v>
      </c>
    </row>
    <row r="89" spans="1:131" x14ac:dyDescent="0.4">
      <c r="A89" s="4" t="s">
        <v>168</v>
      </c>
      <c r="B89" s="5" t="s">
        <v>196</v>
      </c>
      <c r="C89" s="8">
        <v>54.537045999999997</v>
      </c>
      <c r="D89" s="8">
        <v>-117.773923</v>
      </c>
      <c r="E89" s="7" t="s">
        <v>170</v>
      </c>
      <c r="F89" s="5" t="s">
        <v>171</v>
      </c>
      <c r="G89" s="7" t="s">
        <v>184</v>
      </c>
      <c r="H89" s="4" t="s">
        <v>173</v>
      </c>
      <c r="I89" s="52"/>
      <c r="J89" s="53"/>
      <c r="K89" s="36">
        <v>2510</v>
      </c>
      <c r="L89" s="38">
        <v>2700</v>
      </c>
      <c r="M89" s="54"/>
      <c r="N89" s="55"/>
      <c r="O89" s="56">
        <v>6.5000000000000002E-2</v>
      </c>
      <c r="P89" s="59">
        <v>4.1100000000000002E-19</v>
      </c>
      <c r="Q89" s="59">
        <v>5.0000000000000004E-18</v>
      </c>
      <c r="R89" s="165">
        <f t="shared" si="7"/>
        <v>2.7055000000000004E-18</v>
      </c>
      <c r="S89" s="54"/>
      <c r="T89" s="55"/>
      <c r="U89" s="56">
        <v>50</v>
      </c>
      <c r="V89" s="55"/>
      <c r="W89" s="55"/>
      <c r="X89" s="56">
        <v>0.25</v>
      </c>
      <c r="Y89" s="54"/>
      <c r="Z89" s="56"/>
      <c r="AA89" s="54"/>
      <c r="AB89" s="56"/>
      <c r="AC89" s="54"/>
      <c r="AD89" s="56">
        <v>0.4</v>
      </c>
      <c r="AE89" s="54"/>
      <c r="AF89" s="56"/>
      <c r="AG89" s="55"/>
      <c r="AH89" s="56"/>
      <c r="AI89" s="54"/>
      <c r="AJ89" s="56"/>
      <c r="AK89" s="55"/>
      <c r="AL89" s="56"/>
      <c r="AM89" s="54"/>
      <c r="AN89" s="56"/>
      <c r="AO89" s="59"/>
      <c r="AP89" s="60"/>
      <c r="AQ89" s="61"/>
      <c r="AR89" s="62">
        <v>3840</v>
      </c>
      <c r="AS89" s="38" t="s">
        <v>535</v>
      </c>
      <c r="AT89" s="63">
        <v>2.5000000000000001E-2</v>
      </c>
      <c r="AU89" s="64">
        <v>0</v>
      </c>
      <c r="AV89" s="64"/>
      <c r="AW89" s="53">
        <f t="shared" si="8"/>
        <v>85</v>
      </c>
      <c r="AX89" s="65">
        <v>2.9159999999999998E-2</v>
      </c>
      <c r="AY89" s="64">
        <v>0</v>
      </c>
      <c r="AZ89" s="64"/>
      <c r="BA89" s="53">
        <f t="shared" si="9"/>
        <v>99.143999999999991</v>
      </c>
      <c r="BB89" s="63">
        <v>3.2099999999999997E-2</v>
      </c>
      <c r="BC89" s="64">
        <v>-41.8</v>
      </c>
      <c r="BD89" s="64"/>
      <c r="BE89" s="53">
        <f t="shared" si="10"/>
        <v>109.13999999999999</v>
      </c>
      <c r="BF89" s="36" t="s">
        <v>819</v>
      </c>
      <c r="BG89" s="38" t="s">
        <v>820</v>
      </c>
      <c r="BH89" s="63">
        <v>2.9100000000000001E-2</v>
      </c>
      <c r="BI89" s="64">
        <v>-39.6</v>
      </c>
      <c r="BJ89" s="64"/>
      <c r="BK89" s="53">
        <f t="shared" si="11"/>
        <v>59.339999999999996</v>
      </c>
      <c r="BL89" s="66"/>
      <c r="BM89" s="62"/>
      <c r="BN89" s="37" t="s">
        <v>641</v>
      </c>
      <c r="BO89" s="38"/>
      <c r="BP89" s="36"/>
      <c r="BQ89" s="38">
        <v>90</v>
      </c>
      <c r="BR89" s="37"/>
      <c r="BS89" s="38"/>
      <c r="BT89" s="35"/>
      <c r="BU89" s="38" t="s">
        <v>535</v>
      </c>
      <c r="BV89" s="66"/>
      <c r="BW89" s="62"/>
      <c r="BX89" s="66"/>
      <c r="BY89" s="62"/>
      <c r="BZ89" s="67"/>
      <c r="CA89" s="61"/>
      <c r="CB89" s="62"/>
      <c r="CC89" s="37"/>
      <c r="CD89" s="38"/>
      <c r="CE89" s="64"/>
      <c r="CF89" s="53"/>
      <c r="CG89" s="37"/>
      <c r="CH89" s="38"/>
      <c r="CI89" s="36"/>
      <c r="CJ89" s="38"/>
      <c r="CK89" s="37"/>
      <c r="CL89" s="38"/>
      <c r="CM89" s="36"/>
      <c r="CN89" s="38"/>
      <c r="CO89" s="37"/>
      <c r="CP89" s="38"/>
      <c r="CQ89" s="37"/>
      <c r="CR89" s="38"/>
      <c r="CS89" s="37"/>
      <c r="CT89" s="38"/>
      <c r="CU89" s="66"/>
      <c r="CV89" s="61">
        <v>3400</v>
      </c>
      <c r="CW89" s="35"/>
      <c r="CX89" s="68">
        <v>41852</v>
      </c>
      <c r="CY89" s="37" t="s">
        <v>815</v>
      </c>
      <c r="CZ89" s="35">
        <v>100</v>
      </c>
      <c r="DA89" s="60">
        <v>0.15659999999999999</v>
      </c>
      <c r="DB89" s="69"/>
      <c r="DC89" s="60"/>
      <c r="DD89" s="69"/>
      <c r="DE89" s="60"/>
      <c r="DF89" s="70">
        <v>62.6</v>
      </c>
      <c r="DG89" s="70"/>
      <c r="DH89" s="71"/>
      <c r="DI89" s="64"/>
      <c r="DJ89" s="35"/>
      <c r="DK89" s="61">
        <v>2300</v>
      </c>
      <c r="DL89" s="61">
        <v>4500</v>
      </c>
      <c r="DM89" s="72"/>
      <c r="DN89" s="64"/>
      <c r="DO89" s="72"/>
      <c r="DP89" s="64">
        <v>0.9</v>
      </c>
      <c r="DQ89" s="72"/>
      <c r="DR89" s="64"/>
      <c r="DS89" s="70">
        <v>3.2</v>
      </c>
      <c r="DT89" s="36" t="s">
        <v>541</v>
      </c>
      <c r="DU89" s="66"/>
      <c r="DV89" s="62"/>
      <c r="DW89" s="62">
        <v>5000</v>
      </c>
      <c r="DX89" s="73">
        <v>41640</v>
      </c>
      <c r="DY89" s="4"/>
      <c r="DZ89" s="74" t="s">
        <v>824</v>
      </c>
      <c r="EA89" s="241" t="s">
        <v>1090</v>
      </c>
    </row>
    <row r="90" spans="1:131" x14ac:dyDescent="0.4">
      <c r="A90" s="4" t="s">
        <v>168</v>
      </c>
      <c r="B90" s="5" t="s">
        <v>197</v>
      </c>
      <c r="C90" s="8">
        <v>54.438115000000003</v>
      </c>
      <c r="D90" s="8">
        <v>-117.34039300000001</v>
      </c>
      <c r="E90" s="7" t="s">
        <v>170</v>
      </c>
      <c r="F90" s="5" t="s">
        <v>171</v>
      </c>
      <c r="G90" s="7" t="s">
        <v>184</v>
      </c>
      <c r="H90" s="4" t="s">
        <v>173</v>
      </c>
      <c r="I90" s="52"/>
      <c r="J90" s="53"/>
      <c r="K90" s="36">
        <v>2510</v>
      </c>
      <c r="L90" s="38">
        <v>2700</v>
      </c>
      <c r="M90" s="54"/>
      <c r="N90" s="55"/>
      <c r="O90" s="56">
        <v>6.5000000000000002E-2</v>
      </c>
      <c r="P90" s="59">
        <v>4.1100000000000002E-19</v>
      </c>
      <c r="Q90" s="59">
        <v>5.0000000000000004E-18</v>
      </c>
      <c r="R90" s="165">
        <f t="shared" si="7"/>
        <v>2.7055000000000004E-18</v>
      </c>
      <c r="S90" s="54"/>
      <c r="T90" s="55"/>
      <c r="U90" s="56">
        <v>50</v>
      </c>
      <c r="V90" s="55"/>
      <c r="W90" s="55"/>
      <c r="X90" s="56">
        <v>0.25</v>
      </c>
      <c r="Y90" s="54"/>
      <c r="Z90" s="56"/>
      <c r="AA90" s="54"/>
      <c r="AB90" s="56"/>
      <c r="AC90" s="54"/>
      <c r="AD90" s="56">
        <v>0.4</v>
      </c>
      <c r="AE90" s="54"/>
      <c r="AF90" s="56"/>
      <c r="AG90" s="55"/>
      <c r="AH90" s="56"/>
      <c r="AI90" s="54"/>
      <c r="AJ90" s="56"/>
      <c r="AK90" s="55"/>
      <c r="AL90" s="56"/>
      <c r="AM90" s="54"/>
      <c r="AN90" s="56"/>
      <c r="AO90" s="59"/>
      <c r="AP90" s="60"/>
      <c r="AQ90" s="61"/>
      <c r="AR90" s="62">
        <v>3840</v>
      </c>
      <c r="AS90" s="38" t="s">
        <v>535</v>
      </c>
      <c r="AT90" s="63">
        <v>2.5000000000000001E-2</v>
      </c>
      <c r="AU90" s="64">
        <v>0</v>
      </c>
      <c r="AV90" s="64"/>
      <c r="AW90" s="53">
        <f t="shared" si="8"/>
        <v>85</v>
      </c>
      <c r="AX90" s="65">
        <v>2.9159999999999998E-2</v>
      </c>
      <c r="AY90" s="64">
        <v>0</v>
      </c>
      <c r="AZ90" s="64"/>
      <c r="BA90" s="53">
        <f t="shared" si="9"/>
        <v>99.143999999999991</v>
      </c>
      <c r="BB90" s="63">
        <v>3.2099999999999997E-2</v>
      </c>
      <c r="BC90" s="64">
        <v>-41.8</v>
      </c>
      <c r="BD90" s="64"/>
      <c r="BE90" s="53">
        <f t="shared" si="10"/>
        <v>109.13999999999999</v>
      </c>
      <c r="BF90" s="36" t="s">
        <v>819</v>
      </c>
      <c r="BG90" s="38" t="s">
        <v>820</v>
      </c>
      <c r="BH90" s="63">
        <v>2.9100000000000001E-2</v>
      </c>
      <c r="BI90" s="64">
        <v>-39.6</v>
      </c>
      <c r="BJ90" s="64"/>
      <c r="BK90" s="53">
        <f t="shared" si="11"/>
        <v>59.339999999999996</v>
      </c>
      <c r="BL90" s="66"/>
      <c r="BM90" s="62"/>
      <c r="BN90" s="37" t="s">
        <v>641</v>
      </c>
      <c r="BO90" s="38"/>
      <c r="BP90" s="36"/>
      <c r="BQ90" s="38">
        <v>90</v>
      </c>
      <c r="BR90" s="37"/>
      <c r="BS90" s="38"/>
      <c r="BT90" s="35"/>
      <c r="BU90" s="38" t="s">
        <v>535</v>
      </c>
      <c r="BV90" s="66"/>
      <c r="BW90" s="62">
        <v>45</v>
      </c>
      <c r="BX90" s="66"/>
      <c r="BY90" s="62">
        <v>5</v>
      </c>
      <c r="BZ90" s="67"/>
      <c r="CA90" s="61"/>
      <c r="CB90" s="62"/>
      <c r="CC90" s="37"/>
      <c r="CD90" s="38"/>
      <c r="CE90" s="64"/>
      <c r="CF90" s="53"/>
      <c r="CG90" s="37"/>
      <c r="CH90" s="60">
        <v>1E-14</v>
      </c>
      <c r="CI90" s="36"/>
      <c r="CJ90" s="38"/>
      <c r="CK90" s="37"/>
      <c r="CL90" s="38"/>
      <c r="CM90" s="36"/>
      <c r="CN90" s="38"/>
      <c r="CO90" s="37"/>
      <c r="CP90" s="38"/>
      <c r="CQ90" s="37"/>
      <c r="CR90" s="38"/>
      <c r="CS90" s="37"/>
      <c r="CT90" s="38"/>
      <c r="CU90" s="66"/>
      <c r="CV90" s="61">
        <v>3400</v>
      </c>
      <c r="CW90" s="35"/>
      <c r="CX90" s="68">
        <v>41990</v>
      </c>
      <c r="CY90" s="37" t="s">
        <v>815</v>
      </c>
      <c r="CZ90" s="35">
        <v>100</v>
      </c>
      <c r="DA90" s="60">
        <v>0.18329999999999999</v>
      </c>
      <c r="DB90" s="69">
        <v>59636.5</v>
      </c>
      <c r="DC90" s="60"/>
      <c r="DD90" s="69"/>
      <c r="DE90" s="60"/>
      <c r="DF90" s="70">
        <v>75.3</v>
      </c>
      <c r="DG90" s="70"/>
      <c r="DH90" s="71">
        <v>41996</v>
      </c>
      <c r="DI90" s="64"/>
      <c r="DJ90" s="35">
        <v>115</v>
      </c>
      <c r="DK90" s="61">
        <v>2000</v>
      </c>
      <c r="DL90" s="61">
        <v>5000</v>
      </c>
      <c r="DM90" s="72"/>
      <c r="DN90" s="64"/>
      <c r="DO90" s="72"/>
      <c r="DP90" s="64">
        <v>0.84</v>
      </c>
      <c r="DQ90" s="72"/>
      <c r="DR90" s="129"/>
      <c r="DS90" s="70">
        <v>3.9</v>
      </c>
      <c r="DT90" s="36" t="s">
        <v>541</v>
      </c>
      <c r="DU90" s="66"/>
      <c r="DV90" s="62">
        <v>3910</v>
      </c>
      <c r="DW90" s="62"/>
      <c r="DX90" s="73">
        <v>42027</v>
      </c>
      <c r="DY90" s="4" t="s">
        <v>825</v>
      </c>
      <c r="DZ90" s="74" t="s">
        <v>826</v>
      </c>
      <c r="EA90" s="241" t="s">
        <v>1090</v>
      </c>
    </row>
    <row r="91" spans="1:131" x14ac:dyDescent="0.4">
      <c r="A91" s="4" t="s">
        <v>168</v>
      </c>
      <c r="B91" s="5" t="s">
        <v>198</v>
      </c>
      <c r="C91" s="8">
        <v>54.353630000000003</v>
      </c>
      <c r="D91" s="8">
        <v>-117.320114</v>
      </c>
      <c r="E91" s="7" t="s">
        <v>170</v>
      </c>
      <c r="F91" s="5" t="s">
        <v>171</v>
      </c>
      <c r="G91" s="7" t="s">
        <v>184</v>
      </c>
      <c r="H91" s="4" t="s">
        <v>173</v>
      </c>
      <c r="I91" s="52"/>
      <c r="J91" s="53"/>
      <c r="K91" s="36">
        <v>2510</v>
      </c>
      <c r="L91" s="38">
        <v>2700</v>
      </c>
      <c r="M91" s="54"/>
      <c r="N91" s="55"/>
      <c r="O91" s="56">
        <v>6.5000000000000002E-2</v>
      </c>
      <c r="P91" s="59">
        <v>4.1100000000000002E-19</v>
      </c>
      <c r="Q91" s="59">
        <v>5.0000000000000004E-18</v>
      </c>
      <c r="R91" s="165">
        <f t="shared" si="7"/>
        <v>2.7055000000000004E-18</v>
      </c>
      <c r="S91" s="54"/>
      <c r="T91" s="55"/>
      <c r="U91" s="56">
        <v>50</v>
      </c>
      <c r="V91" s="55"/>
      <c r="W91" s="55"/>
      <c r="X91" s="56">
        <v>0.25</v>
      </c>
      <c r="Y91" s="54"/>
      <c r="Z91" s="56"/>
      <c r="AA91" s="54"/>
      <c r="AB91" s="56"/>
      <c r="AC91" s="54"/>
      <c r="AD91" s="56">
        <v>0.4</v>
      </c>
      <c r="AE91" s="54"/>
      <c r="AF91" s="56"/>
      <c r="AG91" s="55"/>
      <c r="AH91" s="56"/>
      <c r="AI91" s="54"/>
      <c r="AJ91" s="56"/>
      <c r="AK91" s="55"/>
      <c r="AL91" s="56"/>
      <c r="AM91" s="54"/>
      <c r="AN91" s="56"/>
      <c r="AO91" s="59"/>
      <c r="AP91" s="60"/>
      <c r="AQ91" s="61"/>
      <c r="AR91" s="62">
        <v>3840</v>
      </c>
      <c r="AS91" s="38" t="s">
        <v>535</v>
      </c>
      <c r="AT91" s="63">
        <v>2.5000000000000001E-2</v>
      </c>
      <c r="AU91" s="64">
        <v>0</v>
      </c>
      <c r="AV91" s="64"/>
      <c r="AW91" s="53">
        <f t="shared" si="8"/>
        <v>85</v>
      </c>
      <c r="AX91" s="65">
        <v>2.9159999999999998E-2</v>
      </c>
      <c r="AY91" s="64">
        <v>0</v>
      </c>
      <c r="AZ91" s="64"/>
      <c r="BA91" s="53">
        <f t="shared" si="9"/>
        <v>99.143999999999991</v>
      </c>
      <c r="BB91" s="63">
        <v>3.2099999999999997E-2</v>
      </c>
      <c r="BC91" s="64">
        <v>-41.8</v>
      </c>
      <c r="BD91" s="64"/>
      <c r="BE91" s="53">
        <f t="shared" si="10"/>
        <v>109.13999999999999</v>
      </c>
      <c r="BF91" s="36" t="s">
        <v>819</v>
      </c>
      <c r="BG91" s="38" t="s">
        <v>820</v>
      </c>
      <c r="BH91" s="63">
        <v>2.9100000000000001E-2</v>
      </c>
      <c r="BI91" s="64">
        <v>-39.6</v>
      </c>
      <c r="BJ91" s="64"/>
      <c r="BK91" s="53">
        <f t="shared" si="11"/>
        <v>59.339999999999996</v>
      </c>
      <c r="BL91" s="66"/>
      <c r="BM91" s="62"/>
      <c r="BN91" s="37" t="s">
        <v>641</v>
      </c>
      <c r="BO91" s="38"/>
      <c r="BP91" s="36"/>
      <c r="BQ91" s="38">
        <v>90</v>
      </c>
      <c r="BR91" s="37"/>
      <c r="BS91" s="38"/>
      <c r="BT91" s="35"/>
      <c r="BU91" s="38" t="s">
        <v>535</v>
      </c>
      <c r="BV91" s="66"/>
      <c r="BW91" s="62"/>
      <c r="BX91" s="66"/>
      <c r="BY91" s="62"/>
      <c r="BZ91" s="67"/>
      <c r="CA91" s="61"/>
      <c r="CB91" s="62"/>
      <c r="CC91" s="37"/>
      <c r="CD91" s="38"/>
      <c r="CE91" s="64"/>
      <c r="CF91" s="53"/>
      <c r="CG91" s="37"/>
      <c r="CH91" s="38"/>
      <c r="CI91" s="36"/>
      <c r="CJ91" s="38"/>
      <c r="CK91" s="37"/>
      <c r="CL91" s="38"/>
      <c r="CM91" s="36"/>
      <c r="CN91" s="38"/>
      <c r="CO91" s="37"/>
      <c r="CP91" s="38"/>
      <c r="CQ91" s="37"/>
      <c r="CR91" s="38"/>
      <c r="CS91" s="37"/>
      <c r="CT91" s="38"/>
      <c r="CU91" s="66"/>
      <c r="CV91" s="61">
        <v>3400</v>
      </c>
      <c r="CW91" s="35"/>
      <c r="CX91" s="68">
        <v>42016</v>
      </c>
      <c r="CY91" s="37" t="s">
        <v>815</v>
      </c>
      <c r="CZ91" s="35">
        <v>100</v>
      </c>
      <c r="DA91" s="60">
        <v>0.18329999999999999</v>
      </c>
      <c r="DB91" s="69">
        <v>11608.5</v>
      </c>
      <c r="DC91" s="60"/>
      <c r="DD91" s="69"/>
      <c r="DE91" s="60"/>
      <c r="DF91" s="70">
        <v>76</v>
      </c>
      <c r="DG91" s="70"/>
      <c r="DH91" s="71">
        <v>42016</v>
      </c>
      <c r="DI91" s="64"/>
      <c r="DJ91" s="35">
        <v>104</v>
      </c>
      <c r="DK91" s="61">
        <v>3300</v>
      </c>
      <c r="DL91" s="61">
        <v>3700</v>
      </c>
      <c r="DM91" s="72"/>
      <c r="DN91" s="64"/>
      <c r="DO91" s="72"/>
      <c r="DP91" s="64">
        <v>0.9</v>
      </c>
      <c r="DQ91" s="72"/>
      <c r="DR91" s="64"/>
      <c r="DS91" s="70">
        <v>3.7</v>
      </c>
      <c r="DT91" s="36" t="s">
        <v>541</v>
      </c>
      <c r="DU91" s="66"/>
      <c r="DV91" s="62">
        <v>3440</v>
      </c>
      <c r="DW91" s="62"/>
      <c r="DX91" s="73">
        <v>42018</v>
      </c>
      <c r="DY91" s="114"/>
      <c r="DZ91" s="74"/>
      <c r="EA91" s="241" t="s">
        <v>1090</v>
      </c>
    </row>
    <row r="92" spans="1:131" x14ac:dyDescent="0.4">
      <c r="A92" s="4" t="s">
        <v>168</v>
      </c>
      <c r="B92" s="5" t="s">
        <v>199</v>
      </c>
      <c r="C92" s="8">
        <v>54.497183</v>
      </c>
      <c r="D92" s="8">
        <v>-117.38203799999999</v>
      </c>
      <c r="E92" s="7" t="s">
        <v>170</v>
      </c>
      <c r="F92" s="5" t="s">
        <v>171</v>
      </c>
      <c r="G92" s="7" t="s">
        <v>184</v>
      </c>
      <c r="H92" s="4" t="s">
        <v>173</v>
      </c>
      <c r="I92" s="52"/>
      <c r="J92" s="53"/>
      <c r="K92" s="36">
        <v>2510</v>
      </c>
      <c r="L92" s="38">
        <v>2700</v>
      </c>
      <c r="M92" s="54"/>
      <c r="N92" s="55"/>
      <c r="O92" s="56">
        <v>6.5000000000000002E-2</v>
      </c>
      <c r="P92" s="59">
        <v>4.1100000000000002E-19</v>
      </c>
      <c r="Q92" s="59">
        <v>5.0000000000000004E-18</v>
      </c>
      <c r="R92" s="165">
        <f t="shared" si="7"/>
        <v>2.7055000000000004E-18</v>
      </c>
      <c r="S92" s="54"/>
      <c r="T92" s="55"/>
      <c r="U92" s="56">
        <v>50</v>
      </c>
      <c r="V92" s="55"/>
      <c r="W92" s="55"/>
      <c r="X92" s="56">
        <v>0.25</v>
      </c>
      <c r="Y92" s="54"/>
      <c r="Z92" s="56"/>
      <c r="AA92" s="54"/>
      <c r="AB92" s="56"/>
      <c r="AC92" s="54"/>
      <c r="AD92" s="56">
        <v>0.4</v>
      </c>
      <c r="AE92" s="54"/>
      <c r="AF92" s="56"/>
      <c r="AG92" s="55"/>
      <c r="AH92" s="56"/>
      <c r="AI92" s="54"/>
      <c r="AJ92" s="56"/>
      <c r="AK92" s="55"/>
      <c r="AL92" s="56"/>
      <c r="AM92" s="54"/>
      <c r="AN92" s="56"/>
      <c r="AO92" s="59"/>
      <c r="AP92" s="60"/>
      <c r="AQ92" s="61"/>
      <c r="AR92" s="62">
        <v>3840</v>
      </c>
      <c r="AS92" s="38" t="s">
        <v>535</v>
      </c>
      <c r="AT92" s="63">
        <v>2.5000000000000001E-2</v>
      </c>
      <c r="AU92" s="64">
        <v>0</v>
      </c>
      <c r="AV92" s="64"/>
      <c r="AW92" s="53">
        <f t="shared" si="8"/>
        <v>85</v>
      </c>
      <c r="AX92" s="65">
        <v>2.9159999999999998E-2</v>
      </c>
      <c r="AY92" s="64">
        <v>0</v>
      </c>
      <c r="AZ92" s="64"/>
      <c r="BA92" s="53">
        <f t="shared" si="9"/>
        <v>99.143999999999991</v>
      </c>
      <c r="BB92" s="63">
        <v>3.2099999999999997E-2</v>
      </c>
      <c r="BC92" s="64">
        <v>-41.8</v>
      </c>
      <c r="BD92" s="64"/>
      <c r="BE92" s="53">
        <f t="shared" si="10"/>
        <v>109.13999999999999</v>
      </c>
      <c r="BF92" s="36" t="s">
        <v>819</v>
      </c>
      <c r="BG92" s="38" t="s">
        <v>820</v>
      </c>
      <c r="BH92" s="63">
        <v>2.9100000000000001E-2</v>
      </c>
      <c r="BI92" s="64">
        <v>-39.6</v>
      </c>
      <c r="BJ92" s="64"/>
      <c r="BK92" s="53">
        <f t="shared" si="11"/>
        <v>59.339999999999996</v>
      </c>
      <c r="BL92" s="66"/>
      <c r="BM92" s="62"/>
      <c r="BN92" s="37" t="s">
        <v>641</v>
      </c>
      <c r="BO92" s="38"/>
      <c r="BP92" s="36"/>
      <c r="BQ92" s="38">
        <v>90</v>
      </c>
      <c r="BR92" s="37"/>
      <c r="BS92" s="38"/>
      <c r="BT92" s="35"/>
      <c r="BU92" s="38" t="s">
        <v>535</v>
      </c>
      <c r="BV92" s="66"/>
      <c r="BW92" s="62"/>
      <c r="BX92" s="66"/>
      <c r="BY92" s="62"/>
      <c r="BZ92" s="67"/>
      <c r="CA92" s="61"/>
      <c r="CB92" s="62"/>
      <c r="CC92" s="37"/>
      <c r="CD92" s="38"/>
      <c r="CE92" s="64"/>
      <c r="CF92" s="53"/>
      <c r="CG92" s="37"/>
      <c r="CH92" s="38"/>
      <c r="CI92" s="36"/>
      <c r="CJ92" s="38"/>
      <c r="CK92" s="37"/>
      <c r="CL92" s="38"/>
      <c r="CM92" s="36"/>
      <c r="CN92" s="38"/>
      <c r="CO92" s="37"/>
      <c r="CP92" s="38"/>
      <c r="CQ92" s="37"/>
      <c r="CR92" s="38"/>
      <c r="CS92" s="37"/>
      <c r="CT92" s="38"/>
      <c r="CU92" s="66"/>
      <c r="CV92" s="61">
        <v>3400</v>
      </c>
      <c r="CW92" s="35"/>
      <c r="CX92" s="68">
        <v>42010</v>
      </c>
      <c r="CY92" s="37" t="s">
        <v>815</v>
      </c>
      <c r="CZ92" s="35">
        <v>100</v>
      </c>
      <c r="DA92" s="60">
        <v>0.125</v>
      </c>
      <c r="DB92" s="69">
        <v>55259.87</v>
      </c>
      <c r="DC92" s="60"/>
      <c r="DD92" s="69"/>
      <c r="DE92" s="60"/>
      <c r="DF92" s="70">
        <v>71.400000000000006</v>
      </c>
      <c r="DG92" s="70"/>
      <c r="DH92" s="71">
        <v>42003</v>
      </c>
      <c r="DI92" s="64"/>
      <c r="DJ92" s="35">
        <v>286</v>
      </c>
      <c r="DK92" s="61"/>
      <c r="DL92" s="61"/>
      <c r="DM92" s="72"/>
      <c r="DN92" s="64"/>
      <c r="DO92" s="72"/>
      <c r="DP92" s="64">
        <v>0.9</v>
      </c>
      <c r="DQ92" s="72"/>
      <c r="DR92" s="64"/>
      <c r="DS92" s="70">
        <v>2.9</v>
      </c>
      <c r="DT92" s="36" t="s">
        <v>541</v>
      </c>
      <c r="DU92" s="66"/>
      <c r="DV92" s="62">
        <v>4060</v>
      </c>
      <c r="DW92" s="62"/>
      <c r="DX92" s="73">
        <v>42020</v>
      </c>
      <c r="DY92" s="114"/>
      <c r="DZ92" s="74"/>
      <c r="EA92" s="241" t="s">
        <v>1090</v>
      </c>
    </row>
    <row r="93" spans="1:131" x14ac:dyDescent="0.4">
      <c r="A93" s="4" t="s">
        <v>168</v>
      </c>
      <c r="B93" s="5" t="s">
        <v>200</v>
      </c>
      <c r="C93" s="8">
        <v>54.354340999999998</v>
      </c>
      <c r="D93" s="8">
        <v>-117.221553</v>
      </c>
      <c r="E93" s="7" t="s">
        <v>170</v>
      </c>
      <c r="F93" s="5" t="s">
        <v>171</v>
      </c>
      <c r="G93" s="7" t="s">
        <v>184</v>
      </c>
      <c r="H93" s="4" t="s">
        <v>173</v>
      </c>
      <c r="I93" s="52"/>
      <c r="J93" s="53"/>
      <c r="K93" s="36">
        <v>2510</v>
      </c>
      <c r="L93" s="38">
        <v>2700</v>
      </c>
      <c r="M93" s="54"/>
      <c r="N93" s="55"/>
      <c r="O93" s="56">
        <v>6.5000000000000002E-2</v>
      </c>
      <c r="P93" s="59">
        <v>4.1100000000000002E-19</v>
      </c>
      <c r="Q93" s="59">
        <v>5.0000000000000004E-18</v>
      </c>
      <c r="R93" s="165">
        <f t="shared" si="7"/>
        <v>2.7055000000000004E-18</v>
      </c>
      <c r="S93" s="54"/>
      <c r="T93" s="55"/>
      <c r="U93" s="56">
        <v>50</v>
      </c>
      <c r="V93" s="55"/>
      <c r="W93" s="55"/>
      <c r="X93" s="56">
        <v>0.25</v>
      </c>
      <c r="Y93" s="54"/>
      <c r="Z93" s="56"/>
      <c r="AA93" s="54"/>
      <c r="AB93" s="56"/>
      <c r="AC93" s="54"/>
      <c r="AD93" s="56">
        <v>0.4</v>
      </c>
      <c r="AE93" s="54"/>
      <c r="AF93" s="56"/>
      <c r="AG93" s="55"/>
      <c r="AH93" s="56"/>
      <c r="AI93" s="54"/>
      <c r="AJ93" s="56"/>
      <c r="AK93" s="55"/>
      <c r="AL93" s="56"/>
      <c r="AM93" s="54"/>
      <c r="AN93" s="56"/>
      <c r="AO93" s="59"/>
      <c r="AP93" s="60"/>
      <c r="AQ93" s="61"/>
      <c r="AR93" s="62">
        <v>3840</v>
      </c>
      <c r="AS93" s="38" t="s">
        <v>535</v>
      </c>
      <c r="AT93" s="63">
        <v>2.5000000000000001E-2</v>
      </c>
      <c r="AU93" s="64">
        <v>0</v>
      </c>
      <c r="AV93" s="64"/>
      <c r="AW93" s="53">
        <f t="shared" si="8"/>
        <v>84.5</v>
      </c>
      <c r="AX93" s="65">
        <v>2.9159999999999998E-2</v>
      </c>
      <c r="AY93" s="64">
        <v>0</v>
      </c>
      <c r="AZ93" s="64"/>
      <c r="BA93" s="53">
        <f t="shared" si="9"/>
        <v>98.5608</v>
      </c>
      <c r="BB93" s="63">
        <v>3.2099999999999997E-2</v>
      </c>
      <c r="BC93" s="64">
        <v>-41.8</v>
      </c>
      <c r="BD93" s="64"/>
      <c r="BE93" s="53">
        <f t="shared" si="10"/>
        <v>108.49799999999999</v>
      </c>
      <c r="BF93" s="36" t="s">
        <v>819</v>
      </c>
      <c r="BG93" s="38" t="s">
        <v>820</v>
      </c>
      <c r="BH93" s="63">
        <v>2.9100000000000001E-2</v>
      </c>
      <c r="BI93" s="64">
        <v>-39.6</v>
      </c>
      <c r="BJ93" s="64"/>
      <c r="BK93" s="53">
        <f t="shared" si="11"/>
        <v>58.758000000000003</v>
      </c>
      <c r="BL93" s="66"/>
      <c r="BM93" s="62"/>
      <c r="BN93" s="37" t="s">
        <v>641</v>
      </c>
      <c r="BO93" s="38"/>
      <c r="BP93" s="36"/>
      <c r="BQ93" s="38">
        <v>90</v>
      </c>
      <c r="BR93" s="37"/>
      <c r="BS93" s="38"/>
      <c r="BT93" s="35"/>
      <c r="BU93" s="38" t="s">
        <v>535</v>
      </c>
      <c r="BV93" s="66"/>
      <c r="BW93" s="62"/>
      <c r="BX93" s="66"/>
      <c r="BY93" s="62"/>
      <c r="BZ93" s="67"/>
      <c r="CA93" s="61"/>
      <c r="CB93" s="62"/>
      <c r="CC93" s="37"/>
      <c r="CD93" s="38"/>
      <c r="CE93" s="64"/>
      <c r="CF93" s="53"/>
      <c r="CG93" s="37"/>
      <c r="CH93" s="38"/>
      <c r="CI93" s="36"/>
      <c r="CJ93" s="38"/>
      <c r="CK93" s="37"/>
      <c r="CL93" s="38"/>
      <c r="CM93" s="36"/>
      <c r="CN93" s="38"/>
      <c r="CO93" s="37"/>
      <c r="CP93" s="38"/>
      <c r="CQ93" s="37"/>
      <c r="CR93" s="38"/>
      <c r="CS93" s="37"/>
      <c r="CT93" s="38"/>
      <c r="CU93" s="66"/>
      <c r="CV93" s="61">
        <v>3380</v>
      </c>
      <c r="CW93" s="35"/>
      <c r="CX93" s="68">
        <v>42040</v>
      </c>
      <c r="CY93" s="37" t="s">
        <v>815</v>
      </c>
      <c r="CZ93" s="35">
        <v>100</v>
      </c>
      <c r="DA93" s="60">
        <v>0.15</v>
      </c>
      <c r="DB93" s="69">
        <v>19848.240000000002</v>
      </c>
      <c r="DC93" s="60"/>
      <c r="DD93" s="69"/>
      <c r="DE93" s="60"/>
      <c r="DF93" s="70">
        <v>80</v>
      </c>
      <c r="DG93" s="70"/>
      <c r="DH93" s="71">
        <v>42041</v>
      </c>
      <c r="DI93" s="64"/>
      <c r="DJ93" s="35">
        <v>365</v>
      </c>
      <c r="DK93" s="61"/>
      <c r="DL93" s="61"/>
      <c r="DM93" s="72"/>
      <c r="DN93" s="64"/>
      <c r="DO93" s="72"/>
      <c r="DP93" s="64">
        <v>0.9</v>
      </c>
      <c r="DQ93" s="72"/>
      <c r="DR93" s="64"/>
      <c r="DS93" s="70">
        <v>3.2</v>
      </c>
      <c r="DT93" s="36" t="s">
        <v>541</v>
      </c>
      <c r="DU93" s="66"/>
      <c r="DV93" s="62">
        <v>5360</v>
      </c>
      <c r="DW93" s="62"/>
      <c r="DX93" s="73">
        <v>42045</v>
      </c>
      <c r="DY93" s="114"/>
      <c r="DZ93" s="74"/>
      <c r="EA93" s="241" t="s">
        <v>1090</v>
      </c>
    </row>
    <row r="94" spans="1:131" x14ac:dyDescent="0.4">
      <c r="A94" s="4" t="s">
        <v>168</v>
      </c>
      <c r="B94" s="5" t="s">
        <v>201</v>
      </c>
      <c r="C94" s="8">
        <v>54.473999999999997</v>
      </c>
      <c r="D94" s="8">
        <v>-117.226</v>
      </c>
      <c r="E94" s="7" t="s">
        <v>170</v>
      </c>
      <c r="F94" s="5" t="s">
        <v>171</v>
      </c>
      <c r="G94" s="7" t="s">
        <v>184</v>
      </c>
      <c r="H94" s="4" t="s">
        <v>173</v>
      </c>
      <c r="I94" s="52"/>
      <c r="J94" s="53"/>
      <c r="K94" s="36">
        <v>2510</v>
      </c>
      <c r="L94" s="38">
        <v>2700</v>
      </c>
      <c r="M94" s="54"/>
      <c r="N94" s="55"/>
      <c r="O94" s="56">
        <v>6.5000000000000002E-2</v>
      </c>
      <c r="P94" s="59">
        <v>4.1100000000000002E-19</v>
      </c>
      <c r="Q94" s="59">
        <v>5.0000000000000004E-18</v>
      </c>
      <c r="R94" s="165">
        <f t="shared" si="7"/>
        <v>2.7055000000000004E-18</v>
      </c>
      <c r="S94" s="54"/>
      <c r="T94" s="55"/>
      <c r="U94" s="56">
        <v>50</v>
      </c>
      <c r="V94" s="55"/>
      <c r="W94" s="55"/>
      <c r="X94" s="56">
        <v>0.25</v>
      </c>
      <c r="Y94" s="54"/>
      <c r="Z94" s="56"/>
      <c r="AA94" s="54"/>
      <c r="AB94" s="56"/>
      <c r="AC94" s="54"/>
      <c r="AD94" s="56">
        <v>0.4</v>
      </c>
      <c r="AE94" s="54"/>
      <c r="AF94" s="56"/>
      <c r="AG94" s="55"/>
      <c r="AH94" s="56"/>
      <c r="AI94" s="54"/>
      <c r="AJ94" s="56"/>
      <c r="AK94" s="55"/>
      <c r="AL94" s="56"/>
      <c r="AM94" s="54"/>
      <c r="AN94" s="56"/>
      <c r="AO94" s="59"/>
      <c r="AP94" s="60"/>
      <c r="AQ94" s="61"/>
      <c r="AR94" s="62">
        <v>3840</v>
      </c>
      <c r="AS94" s="38" t="s">
        <v>535</v>
      </c>
      <c r="AT94" s="63">
        <v>2.5000000000000001E-2</v>
      </c>
      <c r="AU94" s="64">
        <v>0</v>
      </c>
      <c r="AV94" s="64"/>
      <c r="AW94" s="53">
        <f t="shared" si="8"/>
        <v>85</v>
      </c>
      <c r="AX94" s="65">
        <v>2.9159999999999998E-2</v>
      </c>
      <c r="AY94" s="64">
        <v>0</v>
      </c>
      <c r="AZ94" s="64"/>
      <c r="BA94" s="53">
        <f t="shared" si="9"/>
        <v>99.143999999999991</v>
      </c>
      <c r="BB94" s="63">
        <v>3.2099999999999997E-2</v>
      </c>
      <c r="BC94" s="64">
        <v>-41.8</v>
      </c>
      <c r="BD94" s="64"/>
      <c r="BE94" s="53">
        <f t="shared" si="10"/>
        <v>109.13999999999999</v>
      </c>
      <c r="BF94" s="36" t="s">
        <v>819</v>
      </c>
      <c r="BG94" s="38" t="s">
        <v>820</v>
      </c>
      <c r="BH94" s="63">
        <v>2.9100000000000001E-2</v>
      </c>
      <c r="BI94" s="64">
        <v>-39.6</v>
      </c>
      <c r="BJ94" s="64"/>
      <c r="BK94" s="53">
        <f t="shared" si="11"/>
        <v>59.339999999999996</v>
      </c>
      <c r="BL94" s="66"/>
      <c r="BM94" s="62"/>
      <c r="BN94" s="37" t="s">
        <v>641</v>
      </c>
      <c r="BO94" s="38"/>
      <c r="BP94" s="36"/>
      <c r="BQ94" s="38">
        <v>90</v>
      </c>
      <c r="BR94" s="37"/>
      <c r="BS94" s="38"/>
      <c r="BT94" s="35"/>
      <c r="BU94" s="38" t="s">
        <v>535</v>
      </c>
      <c r="BV94" s="66"/>
      <c r="BW94" s="62"/>
      <c r="BX94" s="66"/>
      <c r="BY94" s="62"/>
      <c r="BZ94" s="67"/>
      <c r="CA94" s="61"/>
      <c r="CB94" s="62"/>
      <c r="CC94" s="37"/>
      <c r="CD94" s="38"/>
      <c r="CE94" s="64"/>
      <c r="CF94" s="53"/>
      <c r="CG94" s="37"/>
      <c r="CH94" s="38"/>
      <c r="CI94" s="36"/>
      <c r="CJ94" s="38"/>
      <c r="CK94" s="37"/>
      <c r="CL94" s="38"/>
      <c r="CM94" s="36"/>
      <c r="CN94" s="38"/>
      <c r="CO94" s="37"/>
      <c r="CP94" s="38"/>
      <c r="CQ94" s="37"/>
      <c r="CR94" s="38"/>
      <c r="CS94" s="37"/>
      <c r="CT94" s="38"/>
      <c r="CU94" s="66"/>
      <c r="CV94" s="61">
        <v>3400</v>
      </c>
      <c r="CW94" s="35"/>
      <c r="CX94" s="68">
        <v>42023</v>
      </c>
      <c r="CY94" s="37" t="s">
        <v>815</v>
      </c>
      <c r="CZ94" s="35">
        <v>100</v>
      </c>
      <c r="DA94" s="60">
        <v>0.1666</v>
      </c>
      <c r="DB94" s="69">
        <v>507973.20000000019</v>
      </c>
      <c r="DC94" s="60"/>
      <c r="DD94" s="69"/>
      <c r="DE94" s="60"/>
      <c r="DF94" s="70">
        <v>76.400000000000006</v>
      </c>
      <c r="DG94" s="70"/>
      <c r="DH94" s="71">
        <v>42051</v>
      </c>
      <c r="DI94" s="64"/>
      <c r="DJ94" s="35">
        <v>28</v>
      </c>
      <c r="DK94" s="61"/>
      <c r="DL94" s="61"/>
      <c r="DM94" s="72"/>
      <c r="DN94" s="64"/>
      <c r="DO94" s="72"/>
      <c r="DP94" s="64">
        <v>0.9</v>
      </c>
      <c r="DQ94" s="72"/>
      <c r="DR94" s="64"/>
      <c r="DS94" s="70">
        <v>2.7</v>
      </c>
      <c r="DT94" s="36" t="s">
        <v>541</v>
      </c>
      <c r="DU94" s="66"/>
      <c r="DV94" s="62">
        <v>3460</v>
      </c>
      <c r="DW94" s="62"/>
      <c r="DX94" s="73">
        <v>42070</v>
      </c>
      <c r="DY94" s="114"/>
      <c r="DZ94" s="74"/>
      <c r="EA94" s="241" t="s">
        <v>1090</v>
      </c>
    </row>
    <row r="95" spans="1:131" x14ac:dyDescent="0.4">
      <c r="A95" s="4" t="s">
        <v>168</v>
      </c>
      <c r="B95" s="5" t="s">
        <v>202</v>
      </c>
      <c r="C95" s="8">
        <v>54.433999999999997</v>
      </c>
      <c r="D95" s="8">
        <v>-117.526</v>
      </c>
      <c r="E95" s="7" t="s">
        <v>170</v>
      </c>
      <c r="F95" s="5" t="s">
        <v>171</v>
      </c>
      <c r="G95" s="7" t="s">
        <v>184</v>
      </c>
      <c r="H95" s="4" t="s">
        <v>173</v>
      </c>
      <c r="I95" s="52"/>
      <c r="J95" s="53"/>
      <c r="K95" s="36">
        <v>2510</v>
      </c>
      <c r="L95" s="38">
        <v>2700</v>
      </c>
      <c r="M95" s="54"/>
      <c r="N95" s="55"/>
      <c r="O95" s="56">
        <v>6.5000000000000002E-2</v>
      </c>
      <c r="P95" s="59">
        <v>4.1100000000000002E-19</v>
      </c>
      <c r="Q95" s="59">
        <v>5.0000000000000004E-18</v>
      </c>
      <c r="R95" s="165">
        <f t="shared" si="7"/>
        <v>2.7055000000000004E-18</v>
      </c>
      <c r="S95" s="54"/>
      <c r="T95" s="55"/>
      <c r="U95" s="56">
        <v>50</v>
      </c>
      <c r="V95" s="55"/>
      <c r="W95" s="55"/>
      <c r="X95" s="56">
        <v>0.25</v>
      </c>
      <c r="Y95" s="54"/>
      <c r="Z95" s="56"/>
      <c r="AA95" s="54"/>
      <c r="AB95" s="56"/>
      <c r="AC95" s="54"/>
      <c r="AD95" s="56">
        <v>0.4</v>
      </c>
      <c r="AE95" s="54"/>
      <c r="AF95" s="56"/>
      <c r="AG95" s="55"/>
      <c r="AH95" s="56"/>
      <c r="AI95" s="54"/>
      <c r="AJ95" s="56"/>
      <c r="AK95" s="55"/>
      <c r="AL95" s="56"/>
      <c r="AM95" s="54"/>
      <c r="AN95" s="56"/>
      <c r="AO95" s="59"/>
      <c r="AP95" s="60"/>
      <c r="AQ95" s="61"/>
      <c r="AR95" s="62">
        <v>3840</v>
      </c>
      <c r="AS95" s="38" t="s">
        <v>535</v>
      </c>
      <c r="AT95" s="63">
        <v>2.5000000000000001E-2</v>
      </c>
      <c r="AU95" s="64">
        <v>0</v>
      </c>
      <c r="AV95" s="64"/>
      <c r="AW95" s="53">
        <f t="shared" si="8"/>
        <v>85</v>
      </c>
      <c r="AX95" s="65">
        <v>2.9159999999999998E-2</v>
      </c>
      <c r="AY95" s="64">
        <v>0</v>
      </c>
      <c r="AZ95" s="64"/>
      <c r="BA95" s="53">
        <f t="shared" si="9"/>
        <v>99.143999999999991</v>
      </c>
      <c r="BB95" s="63">
        <v>3.2099999999999997E-2</v>
      </c>
      <c r="BC95" s="64">
        <v>-41.8</v>
      </c>
      <c r="BD95" s="64"/>
      <c r="BE95" s="53">
        <f t="shared" si="10"/>
        <v>109.13999999999999</v>
      </c>
      <c r="BF95" s="36" t="s">
        <v>819</v>
      </c>
      <c r="BG95" s="38" t="s">
        <v>820</v>
      </c>
      <c r="BH95" s="63">
        <v>2.9100000000000001E-2</v>
      </c>
      <c r="BI95" s="64">
        <v>-39.6</v>
      </c>
      <c r="BJ95" s="64"/>
      <c r="BK95" s="53">
        <f t="shared" si="11"/>
        <v>59.339999999999996</v>
      </c>
      <c r="BL95" s="66"/>
      <c r="BM95" s="62"/>
      <c r="BN95" s="37" t="s">
        <v>641</v>
      </c>
      <c r="BO95" s="38"/>
      <c r="BP95" s="36"/>
      <c r="BQ95" s="38">
        <v>90</v>
      </c>
      <c r="BR95" s="37"/>
      <c r="BS95" s="38"/>
      <c r="BT95" s="35"/>
      <c r="BU95" s="38" t="s">
        <v>535</v>
      </c>
      <c r="BV95" s="66"/>
      <c r="BW95" s="62"/>
      <c r="BX95" s="66"/>
      <c r="BY95" s="62"/>
      <c r="BZ95" s="67"/>
      <c r="CA95" s="61"/>
      <c r="CB95" s="62"/>
      <c r="CC95" s="37"/>
      <c r="CD95" s="38"/>
      <c r="CE95" s="64"/>
      <c r="CF95" s="53"/>
      <c r="CG95" s="37"/>
      <c r="CH95" s="38"/>
      <c r="CI95" s="36"/>
      <c r="CJ95" s="38"/>
      <c r="CK95" s="37"/>
      <c r="CL95" s="38"/>
      <c r="CM95" s="36"/>
      <c r="CN95" s="38"/>
      <c r="CO95" s="37"/>
      <c r="CP95" s="38"/>
      <c r="CQ95" s="37"/>
      <c r="CR95" s="38"/>
      <c r="CS95" s="37"/>
      <c r="CT95" s="38"/>
      <c r="CU95" s="66"/>
      <c r="CV95" s="61">
        <v>3400</v>
      </c>
      <c r="CW95" s="35"/>
      <c r="CX95" s="68">
        <v>42029</v>
      </c>
      <c r="CY95" s="37" t="s">
        <v>815</v>
      </c>
      <c r="CZ95" s="35">
        <v>100</v>
      </c>
      <c r="DA95" s="60">
        <v>0.15</v>
      </c>
      <c r="DB95" s="69">
        <v>40327.37999999999</v>
      </c>
      <c r="DC95" s="60"/>
      <c r="DD95" s="69"/>
      <c r="DE95" s="60"/>
      <c r="DF95" s="70">
        <v>71.900000000000006</v>
      </c>
      <c r="DG95" s="70"/>
      <c r="DH95" s="71">
        <v>42039</v>
      </c>
      <c r="DI95" s="64"/>
      <c r="DJ95" s="35">
        <v>7</v>
      </c>
      <c r="DK95" s="61"/>
      <c r="DL95" s="61"/>
      <c r="DM95" s="72"/>
      <c r="DN95" s="64"/>
      <c r="DO95" s="72"/>
      <c r="DP95" s="64">
        <v>0.9</v>
      </c>
      <c r="DQ95" s="72"/>
      <c r="DR95" s="64"/>
      <c r="DS95" s="70">
        <v>2.9</v>
      </c>
      <c r="DT95" s="36" t="s">
        <v>541</v>
      </c>
      <c r="DU95" s="66"/>
      <c r="DV95" s="62">
        <v>8730</v>
      </c>
      <c r="DW95" s="62"/>
      <c r="DX95" s="73">
        <v>42043</v>
      </c>
      <c r="DY95" s="114"/>
      <c r="DZ95" s="74"/>
      <c r="EA95" s="241" t="s">
        <v>1090</v>
      </c>
    </row>
    <row r="96" spans="1:131" x14ac:dyDescent="0.4">
      <c r="A96" s="25" t="s">
        <v>168</v>
      </c>
      <c r="B96" s="26" t="s">
        <v>203</v>
      </c>
      <c r="C96" s="27"/>
      <c r="D96" s="27"/>
      <c r="E96" s="7" t="s">
        <v>170</v>
      </c>
      <c r="F96" s="26" t="s">
        <v>171</v>
      </c>
      <c r="G96" s="15" t="s">
        <v>204</v>
      </c>
      <c r="H96" s="25" t="s">
        <v>173</v>
      </c>
      <c r="I96" s="144"/>
      <c r="J96" s="130"/>
      <c r="K96" s="122"/>
      <c r="L96" s="128"/>
      <c r="M96" s="123"/>
      <c r="N96" s="124"/>
      <c r="O96" s="125"/>
      <c r="P96" s="122"/>
      <c r="Q96" s="122"/>
      <c r="R96" s="60"/>
      <c r="S96" s="123"/>
      <c r="T96" s="124"/>
      <c r="U96" s="125"/>
      <c r="V96" s="124"/>
      <c r="W96" s="124"/>
      <c r="X96" s="125"/>
      <c r="Y96" s="123"/>
      <c r="Z96" s="125"/>
      <c r="AA96" s="123"/>
      <c r="AB96" s="125"/>
      <c r="AC96" s="123"/>
      <c r="AD96" s="125"/>
      <c r="AE96" s="123"/>
      <c r="AF96" s="125"/>
      <c r="AG96" s="124"/>
      <c r="AH96" s="125"/>
      <c r="AI96" s="123"/>
      <c r="AJ96" s="125"/>
      <c r="AK96" s="124"/>
      <c r="AL96" s="125"/>
      <c r="AM96" s="123"/>
      <c r="AN96" s="125"/>
      <c r="AO96" s="141"/>
      <c r="AP96" s="165"/>
      <c r="AQ96" s="167"/>
      <c r="AR96" s="168"/>
      <c r="AS96" s="128"/>
      <c r="AT96" s="169"/>
      <c r="AU96" s="129"/>
      <c r="AV96" s="129"/>
      <c r="AW96" s="53"/>
      <c r="AX96" s="170"/>
      <c r="AY96" s="129"/>
      <c r="AZ96" s="129"/>
      <c r="BA96" s="53"/>
      <c r="BB96" s="169"/>
      <c r="BC96" s="129"/>
      <c r="BD96" s="129"/>
      <c r="BE96" s="53"/>
      <c r="BF96" s="122"/>
      <c r="BG96" s="128"/>
      <c r="BH96" s="169"/>
      <c r="BI96" s="129"/>
      <c r="BJ96" s="129"/>
      <c r="BK96" s="130"/>
      <c r="BL96" s="171"/>
      <c r="BM96" s="168"/>
      <c r="BN96" s="127"/>
      <c r="BO96" s="128"/>
      <c r="BP96" s="122"/>
      <c r="BQ96" s="128"/>
      <c r="BR96" s="127"/>
      <c r="BS96" s="128"/>
      <c r="BT96" s="172"/>
      <c r="BU96" s="128"/>
      <c r="BV96" s="171"/>
      <c r="BW96" s="168"/>
      <c r="BX96" s="171"/>
      <c r="BY96" s="168"/>
      <c r="BZ96" s="173"/>
      <c r="CA96" s="167"/>
      <c r="CB96" s="168"/>
      <c r="CC96" s="127"/>
      <c r="CD96" s="128"/>
      <c r="CE96" s="129"/>
      <c r="CF96" s="130"/>
      <c r="CG96" s="127"/>
      <c r="CH96" s="128"/>
      <c r="CI96" s="122"/>
      <c r="CJ96" s="128"/>
      <c r="CK96" s="127"/>
      <c r="CL96" s="128"/>
      <c r="CM96" s="122"/>
      <c r="CN96" s="128"/>
      <c r="CO96" s="127"/>
      <c r="CP96" s="128"/>
      <c r="CQ96" s="127"/>
      <c r="CR96" s="128"/>
      <c r="CS96" s="127"/>
      <c r="CT96" s="128"/>
      <c r="CU96" s="171"/>
      <c r="CV96" s="167"/>
      <c r="CW96" s="172"/>
      <c r="CX96" s="174"/>
      <c r="CY96" s="26"/>
      <c r="CZ96" s="15"/>
      <c r="DA96" s="165"/>
      <c r="DB96" s="163"/>
      <c r="DC96" s="165"/>
      <c r="DD96" s="163"/>
      <c r="DE96" s="165"/>
      <c r="DF96" s="75"/>
      <c r="DG96" s="75"/>
      <c r="DH96" s="175"/>
      <c r="DI96" s="129"/>
      <c r="DJ96" s="172">
        <v>2259</v>
      </c>
      <c r="DK96" s="167"/>
      <c r="DL96" s="167"/>
      <c r="DM96" s="176"/>
      <c r="DN96" s="129"/>
      <c r="DO96" s="176"/>
      <c r="DP96" s="129"/>
      <c r="DQ96" s="176"/>
      <c r="DR96" s="129"/>
      <c r="DS96" s="75">
        <v>-0.03</v>
      </c>
      <c r="DT96" s="122"/>
      <c r="DU96" s="162"/>
      <c r="DV96" s="166"/>
      <c r="DW96" s="166"/>
      <c r="DX96" s="177"/>
      <c r="DY96" s="178"/>
      <c r="DZ96" s="179" t="s">
        <v>827</v>
      </c>
      <c r="EA96" s="246" t="s">
        <v>828</v>
      </c>
    </row>
    <row r="97" spans="1:131" x14ac:dyDescent="0.4">
      <c r="A97" s="25" t="s">
        <v>168</v>
      </c>
      <c r="B97" s="26" t="s">
        <v>205</v>
      </c>
      <c r="C97" s="8">
        <v>59.51</v>
      </c>
      <c r="D97" s="8">
        <v>-122.52</v>
      </c>
      <c r="E97" s="7" t="s">
        <v>170</v>
      </c>
      <c r="F97" s="26" t="s">
        <v>171</v>
      </c>
      <c r="G97" s="15" t="s">
        <v>204</v>
      </c>
      <c r="H97" s="25" t="s">
        <v>173</v>
      </c>
      <c r="I97" s="144"/>
      <c r="J97" s="130"/>
      <c r="K97" s="122"/>
      <c r="L97" s="128"/>
      <c r="M97" s="123">
        <v>6.0000000000000001E-3</v>
      </c>
      <c r="N97" s="124">
        <v>0.12</v>
      </c>
      <c r="O97" s="125">
        <f>AVERAGE(M97,N97)</f>
        <v>6.3E-2</v>
      </c>
      <c r="P97" s="141">
        <v>1.7E-21</v>
      </c>
      <c r="Q97" s="141">
        <v>4.28E-20</v>
      </c>
      <c r="R97" s="60">
        <v>3.77E-19</v>
      </c>
      <c r="S97" s="123">
        <v>34</v>
      </c>
      <c r="T97" s="124">
        <v>61</v>
      </c>
      <c r="U97" s="125">
        <v>47</v>
      </c>
      <c r="V97" s="124">
        <v>0.17</v>
      </c>
      <c r="W97" s="124">
        <v>0.25</v>
      </c>
      <c r="X97" s="125">
        <v>0.2</v>
      </c>
      <c r="Y97" s="54">
        <f>S97/(3*(1-2*V97))</f>
        <v>17.171717171717173</v>
      </c>
      <c r="Z97" s="56">
        <f>T97/(3*(1-2*W97))</f>
        <v>40.666666666666664</v>
      </c>
      <c r="AA97" s="54">
        <f>S97/(2*(1+V97))</f>
        <v>14.529914529914532</v>
      </c>
      <c r="AB97" s="56">
        <f>T97/(2*(1+W97))</f>
        <v>24.4</v>
      </c>
      <c r="AC97" s="123"/>
      <c r="AD97" s="125"/>
      <c r="AE97" s="123"/>
      <c r="AF97" s="125"/>
      <c r="AG97" s="124"/>
      <c r="AH97" s="125"/>
      <c r="AI97" s="123"/>
      <c r="AJ97" s="125"/>
      <c r="AK97" s="124"/>
      <c r="AL97" s="125"/>
      <c r="AM97" s="123"/>
      <c r="AN97" s="125"/>
      <c r="AO97" s="141"/>
      <c r="AP97" s="165"/>
      <c r="AQ97" s="167">
        <v>2427</v>
      </c>
      <c r="AR97" s="168"/>
      <c r="AS97" s="128"/>
      <c r="AT97" s="169"/>
      <c r="AU97" s="129"/>
      <c r="AV97" s="129"/>
      <c r="AW97" s="53"/>
      <c r="AX97" s="170"/>
      <c r="AY97" s="129"/>
      <c r="AZ97" s="129"/>
      <c r="BA97" s="53"/>
      <c r="BB97" s="169"/>
      <c r="BC97" s="129"/>
      <c r="BD97" s="129"/>
      <c r="BE97" s="53"/>
      <c r="BF97" s="122"/>
      <c r="BG97" s="128"/>
      <c r="BH97" s="169"/>
      <c r="BI97" s="129"/>
      <c r="BJ97" s="129"/>
      <c r="BK97" s="130"/>
      <c r="BL97" s="171"/>
      <c r="BM97" s="168"/>
      <c r="BN97" s="127"/>
      <c r="BO97" s="128"/>
      <c r="BP97" s="122"/>
      <c r="BQ97" s="128"/>
      <c r="BR97" s="127"/>
      <c r="BS97" s="128"/>
      <c r="BT97" s="172"/>
      <c r="BU97" s="128"/>
      <c r="BV97" s="171"/>
      <c r="BW97" s="168"/>
      <c r="BX97" s="171"/>
      <c r="BY97" s="168"/>
      <c r="BZ97" s="173"/>
      <c r="CA97" s="167"/>
      <c r="CB97" s="168"/>
      <c r="CC97" s="127"/>
      <c r="CD97" s="128"/>
      <c r="CE97" s="129"/>
      <c r="CF97" s="130"/>
      <c r="CG97" s="127"/>
      <c r="CH97" s="128"/>
      <c r="CI97" s="122"/>
      <c r="CJ97" s="128"/>
      <c r="CK97" s="127"/>
      <c r="CL97" s="128"/>
      <c r="CM97" s="122"/>
      <c r="CN97" s="128"/>
      <c r="CO97" s="127"/>
      <c r="CP97" s="128"/>
      <c r="CQ97" s="127"/>
      <c r="CR97" s="128"/>
      <c r="CS97" s="127"/>
      <c r="CT97" s="128"/>
      <c r="CU97" s="171">
        <v>2650</v>
      </c>
      <c r="CV97" s="167">
        <v>2889</v>
      </c>
      <c r="CW97" s="172"/>
      <c r="CX97" s="174">
        <v>39114</v>
      </c>
      <c r="CY97" s="26"/>
      <c r="CZ97" s="15"/>
      <c r="DA97" s="165">
        <v>0.2167</v>
      </c>
      <c r="DB97" s="163">
        <v>61612</v>
      </c>
      <c r="DC97" s="165"/>
      <c r="DD97" s="163"/>
      <c r="DE97" s="165"/>
      <c r="DF97" s="75"/>
      <c r="DG97" s="75"/>
      <c r="DH97" s="175">
        <v>39911</v>
      </c>
      <c r="DI97" s="129">
        <v>1</v>
      </c>
      <c r="DJ97" s="172">
        <v>38</v>
      </c>
      <c r="DK97" s="167">
        <v>2800</v>
      </c>
      <c r="DL97" s="167">
        <v>2870</v>
      </c>
      <c r="DM97" s="176"/>
      <c r="DN97" s="129"/>
      <c r="DO97" s="176"/>
      <c r="DP97" s="129">
        <v>1.21</v>
      </c>
      <c r="DQ97" s="176"/>
      <c r="DR97" s="129"/>
      <c r="DS97" s="75">
        <v>3.8</v>
      </c>
      <c r="DT97" s="122" t="s">
        <v>581</v>
      </c>
      <c r="DU97" s="162"/>
      <c r="DV97" s="166"/>
      <c r="DW97" s="168">
        <v>200</v>
      </c>
      <c r="DX97" s="177">
        <v>40682</v>
      </c>
      <c r="DY97" s="178" t="s">
        <v>829</v>
      </c>
      <c r="DZ97" s="179" t="s">
        <v>830</v>
      </c>
      <c r="EA97" s="246" t="s">
        <v>831</v>
      </c>
    </row>
    <row r="98" spans="1:131" x14ac:dyDescent="0.4">
      <c r="A98" s="4" t="s">
        <v>168</v>
      </c>
      <c r="B98" s="5" t="s">
        <v>176</v>
      </c>
      <c r="C98" s="8">
        <v>56.571584000000001</v>
      </c>
      <c r="D98" s="8">
        <v>-121.22191100000001</v>
      </c>
      <c r="E98" s="7" t="s">
        <v>170</v>
      </c>
      <c r="F98" s="5" t="s">
        <v>171</v>
      </c>
      <c r="G98" s="7" t="s">
        <v>206</v>
      </c>
      <c r="H98" s="4" t="s">
        <v>207</v>
      </c>
      <c r="I98" s="52"/>
      <c r="J98" s="53"/>
      <c r="K98" s="36">
        <v>2615</v>
      </c>
      <c r="L98" s="38">
        <v>2615</v>
      </c>
      <c r="M98" s="54">
        <v>0.03</v>
      </c>
      <c r="N98" s="55">
        <v>0.06</v>
      </c>
      <c r="O98" s="56">
        <v>4.4999999999999998E-2</v>
      </c>
      <c r="P98" s="59">
        <v>9.8599999999999999E-19</v>
      </c>
      <c r="Q98" s="59">
        <v>4.9300000000000001E-17</v>
      </c>
      <c r="R98" s="60">
        <f>AVERAGE(Q98,P98)</f>
        <v>2.5142999999999999E-17</v>
      </c>
      <c r="S98" s="54"/>
      <c r="T98" s="55"/>
      <c r="U98" s="56"/>
      <c r="V98" s="55">
        <v>0.1</v>
      </c>
      <c r="W98" s="55">
        <v>0.3</v>
      </c>
      <c r="X98" s="56">
        <v>0.2</v>
      </c>
      <c r="Y98" s="54"/>
      <c r="Z98" s="56"/>
      <c r="AA98" s="54"/>
      <c r="AB98" s="56"/>
      <c r="AC98" s="54"/>
      <c r="AD98" s="56"/>
      <c r="AE98" s="54"/>
      <c r="AF98" s="56"/>
      <c r="AG98" s="55"/>
      <c r="AH98" s="56"/>
      <c r="AI98" s="54"/>
      <c r="AJ98" s="56"/>
      <c r="AK98" s="55"/>
      <c r="AL98" s="56"/>
      <c r="AM98" s="54"/>
      <c r="AN98" s="56"/>
      <c r="AO98" s="59"/>
      <c r="AP98" s="60"/>
      <c r="AQ98" s="61"/>
      <c r="AR98" s="62"/>
      <c r="AS98" s="38"/>
      <c r="AT98" s="63"/>
      <c r="AU98" s="64"/>
      <c r="AV98" s="64"/>
      <c r="AW98" s="53"/>
      <c r="AX98" s="65"/>
      <c r="AY98" s="64"/>
      <c r="AZ98" s="64"/>
      <c r="BA98" s="53"/>
      <c r="BB98" s="63"/>
      <c r="BC98" s="64"/>
      <c r="BD98" s="64"/>
      <c r="BE98" s="53"/>
      <c r="BF98" s="36" t="s">
        <v>607</v>
      </c>
      <c r="BG98" s="38" t="s">
        <v>607</v>
      </c>
      <c r="BH98" s="63"/>
      <c r="BI98" s="64"/>
      <c r="BJ98" s="64"/>
      <c r="BK98" s="53"/>
      <c r="BL98" s="66"/>
      <c r="BM98" s="62"/>
      <c r="BN98" s="37" t="s">
        <v>607</v>
      </c>
      <c r="BO98" s="38" t="s">
        <v>607</v>
      </c>
      <c r="BP98" s="36"/>
      <c r="BQ98" s="38"/>
      <c r="BR98" s="37"/>
      <c r="BS98" s="38"/>
      <c r="BT98" s="35"/>
      <c r="BU98" s="38"/>
      <c r="BV98" s="66"/>
      <c r="BW98" s="62"/>
      <c r="BX98" s="66"/>
      <c r="BY98" s="62"/>
      <c r="BZ98" s="67"/>
      <c r="CA98" s="61"/>
      <c r="CB98" s="62"/>
      <c r="CC98" s="37"/>
      <c r="CD98" s="38"/>
      <c r="CE98" s="64"/>
      <c r="CF98" s="53"/>
      <c r="CG98" s="37"/>
      <c r="CH98" s="38"/>
      <c r="CI98" s="36"/>
      <c r="CJ98" s="38"/>
      <c r="CK98" s="37"/>
      <c r="CL98" s="38"/>
      <c r="CM98" s="36"/>
      <c r="CN98" s="38"/>
      <c r="CO98" s="37"/>
      <c r="CP98" s="38"/>
      <c r="CQ98" s="37"/>
      <c r="CR98" s="38"/>
      <c r="CS98" s="37"/>
      <c r="CT98" s="38"/>
      <c r="CU98" s="66">
        <v>1750</v>
      </c>
      <c r="CV98" s="61"/>
      <c r="CW98" s="35" t="s">
        <v>266</v>
      </c>
      <c r="CX98" s="68"/>
      <c r="CY98" s="37"/>
      <c r="CZ98" s="35"/>
      <c r="DA98" s="60">
        <v>0.16600000000000001</v>
      </c>
      <c r="DB98" s="69">
        <v>8978</v>
      </c>
      <c r="DC98" s="60"/>
      <c r="DD98" s="69"/>
      <c r="DE98" s="60"/>
      <c r="DF98" s="70">
        <v>65</v>
      </c>
      <c r="DG98" s="70"/>
      <c r="DH98" s="71"/>
      <c r="DI98" s="64"/>
      <c r="DJ98" s="35"/>
      <c r="DK98" s="61"/>
      <c r="DL98" s="61"/>
      <c r="DM98" s="72"/>
      <c r="DN98" s="64"/>
      <c r="DO98" s="72"/>
      <c r="DP98" s="64"/>
      <c r="DQ98" s="72"/>
      <c r="DR98" s="64"/>
      <c r="DS98" s="70">
        <v>-0.4</v>
      </c>
      <c r="DT98" s="36" t="s">
        <v>541</v>
      </c>
      <c r="DU98" s="66"/>
      <c r="DV98" s="62"/>
      <c r="DW98" s="62"/>
      <c r="DX98" s="73"/>
      <c r="DY98" s="4" t="s">
        <v>832</v>
      </c>
      <c r="DZ98" s="74" t="s">
        <v>833</v>
      </c>
      <c r="EA98" s="241" t="s">
        <v>834</v>
      </c>
    </row>
    <row r="99" spans="1:131" x14ac:dyDescent="0.4">
      <c r="A99" s="4" t="s">
        <v>168</v>
      </c>
      <c r="B99" s="5" t="s">
        <v>208</v>
      </c>
      <c r="C99" s="8">
        <v>56.079697000000003</v>
      </c>
      <c r="D99" s="8">
        <v>-120.931332</v>
      </c>
      <c r="E99" s="7" t="s">
        <v>170</v>
      </c>
      <c r="F99" s="5" t="s">
        <v>171</v>
      </c>
      <c r="G99" s="7" t="s">
        <v>176</v>
      </c>
      <c r="H99" s="4" t="s">
        <v>209</v>
      </c>
      <c r="I99" s="52"/>
      <c r="J99" s="53"/>
      <c r="K99" s="36">
        <v>2615</v>
      </c>
      <c r="L99" s="38">
        <v>2615</v>
      </c>
      <c r="M99" s="54">
        <v>0.03</v>
      </c>
      <c r="N99" s="55">
        <v>0.06</v>
      </c>
      <c r="O99" s="56">
        <f>AVERAGE(M99,N99)</f>
        <v>4.4999999999999998E-2</v>
      </c>
      <c r="P99" s="59">
        <v>9.8599999999999999E-19</v>
      </c>
      <c r="Q99" s="59">
        <v>4.9300000000000001E-17</v>
      </c>
      <c r="R99" s="60">
        <f>AVERAGE(P99,Q99)</f>
        <v>2.5142999999999999E-17</v>
      </c>
      <c r="S99" s="54"/>
      <c r="T99" s="55"/>
      <c r="U99" s="56">
        <v>26.1</v>
      </c>
      <c r="V99" s="55"/>
      <c r="W99" s="55"/>
      <c r="X99" s="56">
        <v>0.22</v>
      </c>
      <c r="Y99" s="54"/>
      <c r="Z99" s="56"/>
      <c r="AA99" s="54"/>
      <c r="AB99" s="56"/>
      <c r="AC99" s="54"/>
      <c r="AD99" s="56"/>
      <c r="AE99" s="54"/>
      <c r="AF99" s="56"/>
      <c r="AG99" s="55"/>
      <c r="AH99" s="56"/>
      <c r="AI99" s="54"/>
      <c r="AJ99" s="56"/>
      <c r="AK99" s="55"/>
      <c r="AL99" s="56"/>
      <c r="AM99" s="54"/>
      <c r="AN99" s="56"/>
      <c r="AO99" s="59"/>
      <c r="AP99" s="60"/>
      <c r="AQ99" s="61"/>
      <c r="AR99" s="62"/>
      <c r="AS99" s="38"/>
      <c r="AT99" s="63">
        <f>25604/1000000</f>
        <v>2.5603999999999998E-2</v>
      </c>
      <c r="AU99" s="64">
        <v>0</v>
      </c>
      <c r="AV99" s="64">
        <f>AT99*CU99+AU99</f>
        <v>62.140907999999996</v>
      </c>
      <c r="AW99" s="53"/>
      <c r="AX99" s="65">
        <f>18435/1000000</f>
        <v>1.8435E-2</v>
      </c>
      <c r="AY99" s="64">
        <v>0</v>
      </c>
      <c r="AZ99" s="64">
        <f>AX99*CU99+AY99</f>
        <v>44.741745000000002</v>
      </c>
      <c r="BA99" s="53"/>
      <c r="BB99" s="63">
        <f>13314/1000000</f>
        <v>1.3313999999999999E-2</v>
      </c>
      <c r="BC99" s="64">
        <v>0</v>
      </c>
      <c r="BD99" s="64">
        <f>BB99*CU99+BC99</f>
        <v>32.313077999999997</v>
      </c>
      <c r="BE99" s="53"/>
      <c r="BF99" s="36"/>
      <c r="BG99" s="38"/>
      <c r="BH99" s="63"/>
      <c r="BI99" s="64"/>
      <c r="BJ99" s="64">
        <v>23.81</v>
      </c>
      <c r="BK99" s="53">
        <v>23.81</v>
      </c>
      <c r="BL99" s="66"/>
      <c r="BM99" s="62"/>
      <c r="BN99" s="37"/>
      <c r="BO99" s="38"/>
      <c r="BP99" s="36"/>
      <c r="BQ99" s="38"/>
      <c r="BR99" s="37"/>
      <c r="BS99" s="180"/>
      <c r="BT99" s="35"/>
      <c r="BU99" s="38"/>
      <c r="BV99" s="66"/>
      <c r="BW99" s="62"/>
      <c r="BX99" s="66"/>
      <c r="BY99" s="62"/>
      <c r="BZ99" s="67"/>
      <c r="CA99" s="61"/>
      <c r="CB99" s="62"/>
      <c r="CC99" s="37"/>
      <c r="CD99" s="38"/>
      <c r="CE99" s="64"/>
      <c r="CF99" s="53"/>
      <c r="CG99" s="37"/>
      <c r="CH99" s="38"/>
      <c r="CI99" s="36">
        <v>23</v>
      </c>
      <c r="CJ99" s="38">
        <v>23</v>
      </c>
      <c r="CK99" s="37">
        <v>2.2999999999999998</v>
      </c>
      <c r="CL99" s="38">
        <v>2.2999999999999998</v>
      </c>
      <c r="CM99" s="36"/>
      <c r="CN99" s="38"/>
      <c r="CO99" s="37"/>
      <c r="CP99" s="38"/>
      <c r="CQ99" s="37"/>
      <c r="CR99" s="38"/>
      <c r="CS99" s="69">
        <v>27.6</v>
      </c>
      <c r="CT99" s="60">
        <v>27.6</v>
      </c>
      <c r="CU99" s="66">
        <v>2427</v>
      </c>
      <c r="CV99" s="61"/>
      <c r="CW99" s="35"/>
      <c r="CX99" s="68"/>
      <c r="CY99" s="37"/>
      <c r="CZ99" s="35"/>
      <c r="DA99" s="60"/>
      <c r="DB99" s="69"/>
      <c r="DC99" s="60"/>
      <c r="DD99" s="69"/>
      <c r="DE99" s="60"/>
      <c r="DF99" s="70"/>
      <c r="DG99" s="70"/>
      <c r="DH99" s="71">
        <v>41421</v>
      </c>
      <c r="DI99" s="64">
        <v>0.125</v>
      </c>
      <c r="DJ99" s="35">
        <v>8</v>
      </c>
      <c r="DK99" s="61"/>
      <c r="DL99" s="61"/>
      <c r="DM99" s="72"/>
      <c r="DN99" s="64"/>
      <c r="DO99" s="72"/>
      <c r="DP99" s="64"/>
      <c r="DQ99" s="72"/>
      <c r="DR99" s="64"/>
      <c r="DS99" s="70">
        <v>4.2</v>
      </c>
      <c r="DT99" s="36" t="s">
        <v>581</v>
      </c>
      <c r="DU99" s="66"/>
      <c r="DV99" s="62"/>
      <c r="DW99" s="62">
        <v>3000</v>
      </c>
      <c r="DX99" s="73">
        <v>41421</v>
      </c>
      <c r="DY99" s="4" t="s">
        <v>835</v>
      </c>
      <c r="DZ99" s="74" t="s">
        <v>836</v>
      </c>
      <c r="EA99" s="241" t="s">
        <v>805</v>
      </c>
    </row>
    <row r="100" spans="1:131" x14ac:dyDescent="0.4">
      <c r="A100" s="4" t="s">
        <v>168</v>
      </c>
      <c r="B100" s="5" t="s">
        <v>210</v>
      </c>
      <c r="C100" s="8">
        <v>54.3</v>
      </c>
      <c r="D100" s="8">
        <v>-117.25</v>
      </c>
      <c r="E100" s="7" t="s">
        <v>170</v>
      </c>
      <c r="F100" s="5" t="s">
        <v>171</v>
      </c>
      <c r="G100" s="7" t="s">
        <v>211</v>
      </c>
      <c r="H100" s="4" t="s">
        <v>173</v>
      </c>
      <c r="I100" s="52"/>
      <c r="J100" s="53"/>
      <c r="K100" s="36"/>
      <c r="L100" s="38"/>
      <c r="M100" s="54"/>
      <c r="N100" s="55"/>
      <c r="O100" s="56"/>
      <c r="P100" s="59"/>
      <c r="Q100" s="36"/>
      <c r="R100" s="60">
        <v>4.9346165000000003E-18</v>
      </c>
      <c r="S100" s="54">
        <v>45</v>
      </c>
      <c r="T100" s="55">
        <v>65</v>
      </c>
      <c r="U100" s="56">
        <v>55</v>
      </c>
      <c r="V100" s="55">
        <v>0.26</v>
      </c>
      <c r="W100" s="55">
        <v>0.28999999999999998</v>
      </c>
      <c r="X100" s="56">
        <v>0.27500000000000002</v>
      </c>
      <c r="Y100" s="54">
        <f>S100/(3*(1-2*V100))</f>
        <v>31.25</v>
      </c>
      <c r="Z100" s="56">
        <f>T100/(3*(1-2*W100))</f>
        <v>51.587301587301575</v>
      </c>
      <c r="AA100" s="54">
        <f>S100/(2*(1+V100))</f>
        <v>17.857142857142858</v>
      </c>
      <c r="AB100" s="56">
        <f>T100/(2*(1+W100))</f>
        <v>25.193798449612402</v>
      </c>
      <c r="AC100" s="54"/>
      <c r="AD100" s="56"/>
      <c r="AE100" s="54"/>
      <c r="AF100" s="56"/>
      <c r="AG100" s="55"/>
      <c r="AH100" s="56"/>
      <c r="AI100" s="54"/>
      <c r="AJ100" s="56"/>
      <c r="AK100" s="55"/>
      <c r="AL100" s="56"/>
      <c r="AM100" s="54"/>
      <c r="AN100" s="56"/>
      <c r="AO100" s="59"/>
      <c r="AP100" s="60"/>
      <c r="AQ100" s="61"/>
      <c r="AR100" s="62"/>
      <c r="AS100" s="38"/>
      <c r="AT100" s="63">
        <f>24.6/1000</f>
        <v>2.46E-2</v>
      </c>
      <c r="AU100" s="64">
        <v>0</v>
      </c>
      <c r="AV100" s="64">
        <f>AT100*CU100+AU100</f>
        <v>86.1</v>
      </c>
      <c r="AW100" s="53"/>
      <c r="AX100" s="65">
        <f>33/1000</f>
        <v>3.3000000000000002E-2</v>
      </c>
      <c r="AY100" s="64">
        <v>0</v>
      </c>
      <c r="AZ100" s="64">
        <f>AX100*CU100+AY100</f>
        <v>115.5</v>
      </c>
      <c r="BA100" s="53">
        <v>0</v>
      </c>
      <c r="BB100" s="63">
        <f>19/1000</f>
        <v>1.9E-2</v>
      </c>
      <c r="BC100" s="64">
        <v>0</v>
      </c>
      <c r="BD100" s="64">
        <f>BB100*$CU100+BC100</f>
        <v>66.5</v>
      </c>
      <c r="BE100" s="53"/>
      <c r="BF100" s="36" t="s">
        <v>698</v>
      </c>
      <c r="BG100" s="38" t="s">
        <v>837</v>
      </c>
      <c r="BH100" s="63">
        <f>16/1000</f>
        <v>1.6E-2</v>
      </c>
      <c r="BI100" s="64">
        <v>0</v>
      </c>
      <c r="BJ100" s="64">
        <f>BH100*$CU100+BI100</f>
        <v>56</v>
      </c>
      <c r="BK100" s="53"/>
      <c r="BL100" s="66"/>
      <c r="BM100" s="62"/>
      <c r="BN100" s="37" t="s">
        <v>733</v>
      </c>
      <c r="BO100" s="38"/>
      <c r="BP100" s="36"/>
      <c r="BQ100" s="38"/>
      <c r="BR100" s="37"/>
      <c r="BS100" s="38"/>
      <c r="BT100" s="35" t="s">
        <v>838</v>
      </c>
      <c r="BU100" s="38"/>
      <c r="BV100" s="66"/>
      <c r="BW100" s="62"/>
      <c r="BX100" s="66"/>
      <c r="BY100" s="62"/>
      <c r="BZ100" s="67">
        <v>1000</v>
      </c>
      <c r="CA100" s="61"/>
      <c r="CB100" s="62"/>
      <c r="CC100" s="37"/>
      <c r="CD100" s="38"/>
      <c r="CE100" s="64"/>
      <c r="CF100" s="53"/>
      <c r="CG100" s="37"/>
      <c r="CH100" s="38"/>
      <c r="CI100" s="36"/>
      <c r="CJ100" s="38"/>
      <c r="CK100" s="37"/>
      <c r="CL100" s="38"/>
      <c r="CM100" s="36"/>
      <c r="CN100" s="38"/>
      <c r="CO100" s="37"/>
      <c r="CP100" s="38"/>
      <c r="CQ100" s="37"/>
      <c r="CR100" s="38"/>
      <c r="CS100" s="37"/>
      <c r="CT100" s="38"/>
      <c r="CU100" s="66">
        <v>3500</v>
      </c>
      <c r="CV100" s="61"/>
      <c r="CW100" s="35" t="s">
        <v>266</v>
      </c>
      <c r="CX100" s="68">
        <v>42668</v>
      </c>
      <c r="CY100" s="37"/>
      <c r="CZ100" s="35"/>
      <c r="DA100" s="60"/>
      <c r="DB100" s="69">
        <v>62500</v>
      </c>
      <c r="DC100" s="60"/>
      <c r="DD100" s="69"/>
      <c r="DE100" s="60"/>
      <c r="DF100" s="70"/>
      <c r="DG100" s="70"/>
      <c r="DH100" s="71"/>
      <c r="DI100" s="64"/>
      <c r="DJ100" s="35">
        <v>4083</v>
      </c>
      <c r="DK100" s="61">
        <v>3000</v>
      </c>
      <c r="DL100" s="61">
        <v>4000</v>
      </c>
      <c r="DM100" s="72"/>
      <c r="DN100" s="64"/>
      <c r="DO100" s="72"/>
      <c r="DP100" s="64">
        <v>1.1000000000000001</v>
      </c>
      <c r="DQ100" s="72"/>
      <c r="DR100" s="64"/>
      <c r="DS100" s="70">
        <v>3.22</v>
      </c>
      <c r="DT100" s="36" t="s">
        <v>541</v>
      </c>
      <c r="DU100" s="66"/>
      <c r="DV100" s="62">
        <v>2979</v>
      </c>
      <c r="DW100" s="62"/>
      <c r="DX100" s="73">
        <v>42703</v>
      </c>
      <c r="DY100" s="4" t="s">
        <v>839</v>
      </c>
      <c r="DZ100" s="74" t="s">
        <v>840</v>
      </c>
      <c r="EA100" s="241" t="s">
        <v>841</v>
      </c>
    </row>
    <row r="101" spans="1:131" x14ac:dyDescent="0.4">
      <c r="A101" s="4" t="s">
        <v>212</v>
      </c>
      <c r="B101" s="28" t="s">
        <v>213</v>
      </c>
      <c r="C101" s="6">
        <v>28.130039</v>
      </c>
      <c r="D101" s="6">
        <v>104.75280100000001</v>
      </c>
      <c r="E101" s="7" t="s">
        <v>170</v>
      </c>
      <c r="F101" s="5" t="s">
        <v>171</v>
      </c>
      <c r="G101" s="7" t="s">
        <v>214</v>
      </c>
      <c r="H101" s="4" t="s">
        <v>173</v>
      </c>
      <c r="I101" s="52"/>
      <c r="J101" s="53">
        <v>17.100000000000001</v>
      </c>
      <c r="K101" s="36"/>
      <c r="L101" s="38"/>
      <c r="M101" s="54">
        <v>0.01</v>
      </c>
      <c r="N101" s="55">
        <v>0.09</v>
      </c>
      <c r="O101" s="56">
        <v>0.05</v>
      </c>
      <c r="P101" s="59"/>
      <c r="Q101" s="59"/>
      <c r="R101" s="60">
        <v>4.9999999999999999E-20</v>
      </c>
      <c r="S101" s="54"/>
      <c r="T101" s="55"/>
      <c r="U101" s="56">
        <v>20</v>
      </c>
      <c r="V101" s="55"/>
      <c r="W101" s="55"/>
      <c r="X101" s="56">
        <v>0.22</v>
      </c>
      <c r="Y101" s="54"/>
      <c r="Z101" s="56"/>
      <c r="AA101" s="54"/>
      <c r="AB101" s="56"/>
      <c r="AC101" s="54"/>
      <c r="AD101" s="56"/>
      <c r="AE101" s="54"/>
      <c r="AF101" s="56"/>
      <c r="AG101" s="55"/>
      <c r="AH101" s="56"/>
      <c r="AI101" s="54">
        <v>50</v>
      </c>
      <c r="AJ101" s="56">
        <v>100</v>
      </c>
      <c r="AK101" s="55"/>
      <c r="AL101" s="56"/>
      <c r="AM101" s="54"/>
      <c r="AN101" s="56"/>
      <c r="AO101" s="59"/>
      <c r="AP101" s="60"/>
      <c r="AQ101" s="61"/>
      <c r="AR101" s="62"/>
      <c r="AS101" s="38" t="s">
        <v>725</v>
      </c>
      <c r="AT101" s="63">
        <v>2.5999999999999999E-2</v>
      </c>
      <c r="AU101" s="64">
        <v>0</v>
      </c>
      <c r="AV101" s="64"/>
      <c r="AW101" s="53">
        <f>PRODUCT(AT101,CV101)</f>
        <v>78</v>
      </c>
      <c r="AX101" s="65">
        <v>0.03</v>
      </c>
      <c r="AY101" s="64">
        <v>0</v>
      </c>
      <c r="AZ101" s="64"/>
      <c r="BA101" s="53">
        <f>PRODUCT(AX101,CV101)+AY101</f>
        <v>90</v>
      </c>
      <c r="BB101" s="63">
        <v>2.5000000000000001E-2</v>
      </c>
      <c r="BC101" s="64">
        <v>0</v>
      </c>
      <c r="BD101" s="64"/>
      <c r="BE101" s="53">
        <f>PRODUCT(BB101,CV101)</f>
        <v>75</v>
      </c>
      <c r="BF101" s="36" t="s">
        <v>842</v>
      </c>
      <c r="BG101" s="38" t="s">
        <v>843</v>
      </c>
      <c r="BH101" s="63">
        <v>0.02</v>
      </c>
      <c r="BI101" s="64">
        <v>0</v>
      </c>
      <c r="BJ101" s="64"/>
      <c r="BK101" s="53">
        <f>BH101*CV101+BI101</f>
        <v>60</v>
      </c>
      <c r="BL101" s="66"/>
      <c r="BM101" s="62"/>
      <c r="BN101" s="37"/>
      <c r="BO101" s="38"/>
      <c r="BP101" s="36"/>
      <c r="BQ101" s="38"/>
      <c r="BR101" s="37"/>
      <c r="BS101" s="38"/>
      <c r="BT101" s="35"/>
      <c r="BU101" s="38"/>
      <c r="BV101" s="66"/>
      <c r="BW101" s="62"/>
      <c r="BX101" s="66"/>
      <c r="BY101" s="62"/>
      <c r="BZ101" s="67"/>
      <c r="CA101" s="61"/>
      <c r="CB101" s="62"/>
      <c r="CC101" s="37"/>
      <c r="CD101" s="38"/>
      <c r="CE101" s="64"/>
      <c r="CF101" s="53"/>
      <c r="CG101" s="37"/>
      <c r="CH101" s="38"/>
      <c r="CI101" s="36"/>
      <c r="CJ101" s="38"/>
      <c r="CK101" s="37"/>
      <c r="CL101" s="38"/>
      <c r="CM101" s="36"/>
      <c r="CN101" s="38"/>
      <c r="CO101" s="37"/>
      <c r="CP101" s="38"/>
      <c r="CQ101" s="37"/>
      <c r="CR101" s="38"/>
      <c r="CS101" s="37"/>
      <c r="CT101" s="38"/>
      <c r="CU101" s="66">
        <v>2300</v>
      </c>
      <c r="CV101" s="61">
        <v>3000</v>
      </c>
      <c r="CW101" s="35"/>
      <c r="CX101" s="68">
        <v>41974</v>
      </c>
      <c r="CY101" s="37"/>
      <c r="CZ101" s="35"/>
      <c r="DA101" s="60">
        <v>0.2</v>
      </c>
      <c r="DB101" s="69"/>
      <c r="DC101" s="60">
        <v>252000</v>
      </c>
      <c r="DD101" s="69"/>
      <c r="DE101" s="60"/>
      <c r="DF101" s="70">
        <v>65</v>
      </c>
      <c r="DG101" s="70"/>
      <c r="DH101" s="71">
        <v>41974</v>
      </c>
      <c r="DI101" s="64"/>
      <c r="DJ101" s="35" t="s">
        <v>844</v>
      </c>
      <c r="DK101" s="61">
        <v>3000</v>
      </c>
      <c r="DL101" s="61">
        <v>4000</v>
      </c>
      <c r="DM101" s="72"/>
      <c r="DN101" s="64"/>
      <c r="DO101" s="72"/>
      <c r="DP101" s="64"/>
      <c r="DQ101" s="72"/>
      <c r="DR101" s="64">
        <v>0.9</v>
      </c>
      <c r="DS101" s="70">
        <v>4.7</v>
      </c>
      <c r="DT101" s="36" t="s">
        <v>541</v>
      </c>
      <c r="DU101" s="66"/>
      <c r="DV101" s="62">
        <v>1800</v>
      </c>
      <c r="DW101" s="62"/>
      <c r="DX101" s="73">
        <v>42763</v>
      </c>
      <c r="DY101" s="114"/>
      <c r="DZ101" s="74"/>
      <c r="EA101" s="241" t="s">
        <v>845</v>
      </c>
    </row>
    <row r="102" spans="1:131" x14ac:dyDescent="0.4">
      <c r="A102" s="18" t="s">
        <v>212</v>
      </c>
      <c r="B102" s="19" t="s">
        <v>215</v>
      </c>
      <c r="C102" s="8">
        <v>28.195817999999999</v>
      </c>
      <c r="D102" s="8">
        <v>104.69561899999999</v>
      </c>
      <c r="E102" s="7" t="s">
        <v>170</v>
      </c>
      <c r="F102" s="19" t="s">
        <v>171</v>
      </c>
      <c r="G102" s="29" t="s">
        <v>216</v>
      </c>
      <c r="H102" s="18" t="s">
        <v>173</v>
      </c>
      <c r="I102" s="52"/>
      <c r="J102" s="53"/>
      <c r="K102" s="36">
        <v>2650</v>
      </c>
      <c r="L102" s="38">
        <v>2650</v>
      </c>
      <c r="M102" s="54"/>
      <c r="N102" s="55"/>
      <c r="O102" s="56"/>
      <c r="P102" s="36"/>
      <c r="Q102" s="36"/>
      <c r="R102" s="38"/>
      <c r="S102" s="54">
        <v>58.6</v>
      </c>
      <c r="T102" s="55">
        <v>61.1</v>
      </c>
      <c r="U102" s="56">
        <f>AVERAGE(S102,T102)</f>
        <v>59.85</v>
      </c>
      <c r="V102" s="55"/>
      <c r="W102" s="55"/>
      <c r="X102" s="56">
        <v>0.25</v>
      </c>
      <c r="Y102" s="54"/>
      <c r="Z102" s="56"/>
      <c r="AA102" s="54"/>
      <c r="AB102" s="56">
        <v>32</v>
      </c>
      <c r="AC102" s="54"/>
      <c r="AD102" s="56"/>
      <c r="AE102" s="54"/>
      <c r="AF102" s="56">
        <v>30</v>
      </c>
      <c r="AG102" s="55"/>
      <c r="AH102" s="56"/>
      <c r="AI102" s="54"/>
      <c r="AJ102" s="56">
        <v>197</v>
      </c>
      <c r="AK102" s="55"/>
      <c r="AL102" s="56"/>
      <c r="AM102" s="54"/>
      <c r="AN102" s="56"/>
      <c r="AO102" s="59"/>
      <c r="AP102" s="60"/>
      <c r="AQ102" s="61"/>
      <c r="AR102" s="62"/>
      <c r="AS102" s="38"/>
      <c r="AT102" s="63"/>
      <c r="AU102" s="64"/>
      <c r="AV102" s="64"/>
      <c r="AW102" s="53"/>
      <c r="AX102" s="65"/>
      <c r="AY102" s="64"/>
      <c r="AZ102" s="64"/>
      <c r="BA102" s="53"/>
      <c r="BB102" s="63"/>
      <c r="BC102" s="64"/>
      <c r="BD102" s="64"/>
      <c r="BE102" s="53"/>
      <c r="BF102" s="36"/>
      <c r="BG102" s="38">
        <v>117</v>
      </c>
      <c r="BH102" s="63"/>
      <c r="BI102" s="64"/>
      <c r="BJ102" s="64"/>
      <c r="BK102" s="53"/>
      <c r="BL102" s="66"/>
      <c r="BM102" s="62"/>
      <c r="BN102" s="37">
        <v>352</v>
      </c>
      <c r="BO102" s="38"/>
      <c r="BP102" s="36">
        <v>55</v>
      </c>
      <c r="BQ102" s="38"/>
      <c r="BR102" s="37"/>
      <c r="BS102" s="38"/>
      <c r="BT102" s="35"/>
      <c r="BU102" s="38" t="s">
        <v>796</v>
      </c>
      <c r="BV102" s="66"/>
      <c r="BW102" s="62"/>
      <c r="BX102" s="66">
        <v>2</v>
      </c>
      <c r="BY102" s="62"/>
      <c r="BZ102" s="67"/>
      <c r="CA102" s="61"/>
      <c r="CB102" s="62"/>
      <c r="CC102" s="37"/>
      <c r="CD102" s="38"/>
      <c r="CE102" s="64"/>
      <c r="CF102" s="53"/>
      <c r="CG102" s="37"/>
      <c r="CH102" s="38"/>
      <c r="CI102" s="36"/>
      <c r="CJ102" s="38"/>
      <c r="CK102" s="37"/>
      <c r="CL102" s="38"/>
      <c r="CM102" s="36"/>
      <c r="CN102" s="38"/>
      <c r="CO102" s="37"/>
      <c r="CP102" s="38"/>
      <c r="CQ102" s="37"/>
      <c r="CR102" s="38"/>
      <c r="CS102" s="37"/>
      <c r="CT102" s="38"/>
      <c r="CU102" s="66"/>
      <c r="CV102" s="61"/>
      <c r="CW102" s="35" t="s">
        <v>266</v>
      </c>
      <c r="CX102" s="181">
        <v>43405</v>
      </c>
      <c r="CY102" s="19"/>
      <c r="CZ102" s="29"/>
      <c r="DA102" s="60"/>
      <c r="DB102" s="69"/>
      <c r="DC102" s="60"/>
      <c r="DD102" s="69"/>
      <c r="DE102" s="60"/>
      <c r="DF102" s="70"/>
      <c r="DG102" s="70"/>
      <c r="DH102" s="71"/>
      <c r="DI102" s="64"/>
      <c r="DJ102" s="35"/>
      <c r="DK102" s="61">
        <v>2000</v>
      </c>
      <c r="DL102" s="61">
        <v>6000</v>
      </c>
      <c r="DM102" s="72"/>
      <c r="DN102" s="64"/>
      <c r="DO102" s="72"/>
      <c r="DP102" s="64">
        <v>0.96</v>
      </c>
      <c r="DQ102" s="72"/>
      <c r="DR102" s="64"/>
      <c r="DS102" s="70">
        <v>5.3</v>
      </c>
      <c r="DT102" s="36" t="s">
        <v>581</v>
      </c>
      <c r="DU102" s="66">
        <v>1840</v>
      </c>
      <c r="DV102" s="137"/>
      <c r="DW102" s="137"/>
      <c r="DX102" s="73">
        <v>43468</v>
      </c>
      <c r="DY102" s="18" t="s">
        <v>846</v>
      </c>
      <c r="DZ102" s="182"/>
      <c r="EA102" s="247" t="s">
        <v>847</v>
      </c>
    </row>
    <row r="103" spans="1:131" x14ac:dyDescent="0.4">
      <c r="A103" s="4" t="s">
        <v>212</v>
      </c>
      <c r="B103" s="5" t="s">
        <v>217</v>
      </c>
      <c r="C103" s="8">
        <v>28.210999999999999</v>
      </c>
      <c r="D103" s="8">
        <v>104.93385600000001</v>
      </c>
      <c r="E103" s="7" t="s">
        <v>170</v>
      </c>
      <c r="F103" s="5" t="s">
        <v>171</v>
      </c>
      <c r="G103" s="7" t="s">
        <v>218</v>
      </c>
      <c r="H103" s="4" t="s">
        <v>173</v>
      </c>
      <c r="I103" s="52"/>
      <c r="J103" s="53"/>
      <c r="K103" s="36">
        <v>2183</v>
      </c>
      <c r="L103" s="38">
        <v>2680</v>
      </c>
      <c r="M103" s="54">
        <v>0.01</v>
      </c>
      <c r="N103" s="55">
        <v>0.09</v>
      </c>
      <c r="O103" s="56">
        <v>0.05</v>
      </c>
      <c r="P103" s="36"/>
      <c r="Q103" s="36"/>
      <c r="R103" s="60">
        <v>4.9999999999999999E-20</v>
      </c>
      <c r="S103" s="54"/>
      <c r="T103" s="55"/>
      <c r="U103" s="56">
        <v>20</v>
      </c>
      <c r="V103" s="55"/>
      <c r="W103" s="55"/>
      <c r="X103" s="56">
        <v>0.22</v>
      </c>
      <c r="Y103" s="54"/>
      <c r="Z103" s="56"/>
      <c r="AA103" s="54"/>
      <c r="AB103" s="56">
        <v>32</v>
      </c>
      <c r="AC103" s="54"/>
      <c r="AD103" s="56"/>
      <c r="AE103" s="54"/>
      <c r="AF103" s="56"/>
      <c r="AG103" s="55"/>
      <c r="AH103" s="56"/>
      <c r="AI103" s="54">
        <v>50</v>
      </c>
      <c r="AJ103" s="56">
        <v>100</v>
      </c>
      <c r="AK103" s="55"/>
      <c r="AL103" s="56"/>
      <c r="AM103" s="54"/>
      <c r="AN103" s="56"/>
      <c r="AO103" s="59"/>
      <c r="AP103" s="60"/>
      <c r="AQ103" s="61"/>
      <c r="AR103" s="62"/>
      <c r="AS103" s="38" t="s">
        <v>725</v>
      </c>
      <c r="AT103" s="63">
        <v>2.5999999999999999E-2</v>
      </c>
      <c r="AU103" s="64">
        <v>0</v>
      </c>
      <c r="AV103" s="64"/>
      <c r="AW103" s="53">
        <f>PRODUCT(AT103,CV103)</f>
        <v>78</v>
      </c>
      <c r="AX103" s="65">
        <v>0.03</v>
      </c>
      <c r="AY103" s="64">
        <v>0</v>
      </c>
      <c r="AZ103" s="64"/>
      <c r="BA103" s="53">
        <f>PRODUCT(AX103,CV103)+AY103</f>
        <v>90</v>
      </c>
      <c r="BB103" s="63">
        <v>2.5000000000000001E-2</v>
      </c>
      <c r="BC103" s="64">
        <v>0</v>
      </c>
      <c r="BD103" s="64"/>
      <c r="BE103" s="53">
        <f>PRODUCT(BB103,CV103)</f>
        <v>75</v>
      </c>
      <c r="BF103" s="36" t="s">
        <v>848</v>
      </c>
      <c r="BG103" s="38"/>
      <c r="BH103" s="63">
        <v>0.02</v>
      </c>
      <c r="BI103" s="64">
        <v>0</v>
      </c>
      <c r="BJ103" s="64"/>
      <c r="BK103" s="53">
        <f>BH103*CV103+BI103</f>
        <v>60</v>
      </c>
      <c r="BL103" s="66"/>
      <c r="BM103" s="62"/>
      <c r="BN103" s="37"/>
      <c r="BO103" s="38" t="s">
        <v>639</v>
      </c>
      <c r="BP103" s="36"/>
      <c r="BQ103" s="38">
        <v>83</v>
      </c>
      <c r="BR103" s="37"/>
      <c r="BS103" s="38"/>
      <c r="BT103" s="35"/>
      <c r="BU103" s="38" t="s">
        <v>535</v>
      </c>
      <c r="BV103" s="66"/>
      <c r="BW103" s="62"/>
      <c r="BX103" s="66"/>
      <c r="BY103" s="62"/>
      <c r="BZ103" s="67"/>
      <c r="CA103" s="61"/>
      <c r="CB103" s="62"/>
      <c r="CC103" s="37"/>
      <c r="CD103" s="38"/>
      <c r="CE103" s="64"/>
      <c r="CF103" s="53"/>
      <c r="CG103" s="37"/>
      <c r="CH103" s="38"/>
      <c r="CI103" s="36"/>
      <c r="CJ103" s="38"/>
      <c r="CK103" s="37"/>
      <c r="CL103" s="38"/>
      <c r="CM103" s="36"/>
      <c r="CN103" s="38"/>
      <c r="CO103" s="37"/>
      <c r="CP103" s="38"/>
      <c r="CQ103" s="37"/>
      <c r="CR103" s="38"/>
      <c r="CS103" s="37"/>
      <c r="CT103" s="38"/>
      <c r="CU103" s="66"/>
      <c r="CV103" s="61">
        <v>3000</v>
      </c>
      <c r="CW103" s="35"/>
      <c r="CX103" s="181">
        <v>42799</v>
      </c>
      <c r="CY103" s="37"/>
      <c r="CZ103" s="35"/>
      <c r="DA103" s="60">
        <v>0.23300000000000001</v>
      </c>
      <c r="DB103" s="69"/>
      <c r="DC103" s="60">
        <v>1906</v>
      </c>
      <c r="DD103" s="69"/>
      <c r="DE103" s="60">
        <v>539000</v>
      </c>
      <c r="DF103" s="70">
        <v>73</v>
      </c>
      <c r="DG103" s="70"/>
      <c r="DH103" s="71">
        <v>42804</v>
      </c>
      <c r="DI103" s="64">
        <v>5</v>
      </c>
      <c r="DJ103" s="35"/>
      <c r="DK103" s="61">
        <v>2500</v>
      </c>
      <c r="DL103" s="61">
        <v>4500</v>
      </c>
      <c r="DM103" s="72"/>
      <c r="DN103" s="64"/>
      <c r="DO103" s="176"/>
      <c r="DP103" s="64"/>
      <c r="DQ103" s="72"/>
      <c r="DR103" s="64">
        <v>0.96</v>
      </c>
      <c r="DS103" s="70">
        <v>5.17</v>
      </c>
      <c r="DT103" s="36" t="s">
        <v>541</v>
      </c>
      <c r="DU103" s="66"/>
      <c r="DV103" s="62">
        <v>3000</v>
      </c>
      <c r="DW103" s="62"/>
      <c r="DX103" s="73">
        <v>43450</v>
      </c>
      <c r="DY103" s="4" t="s">
        <v>849</v>
      </c>
      <c r="DZ103" s="74"/>
      <c r="EA103" s="247" t="s">
        <v>847</v>
      </c>
    </row>
    <row r="104" spans="1:131" x14ac:dyDescent="0.4">
      <c r="A104" s="4" t="s">
        <v>212</v>
      </c>
      <c r="B104" s="5" t="s">
        <v>219</v>
      </c>
      <c r="C104" s="8">
        <v>29.5</v>
      </c>
      <c r="D104" s="8">
        <v>104.63</v>
      </c>
      <c r="E104" s="7" t="s">
        <v>170</v>
      </c>
      <c r="F104" s="5" t="s">
        <v>171</v>
      </c>
      <c r="G104" s="7" t="s">
        <v>216</v>
      </c>
      <c r="H104" s="4" t="s">
        <v>220</v>
      </c>
      <c r="I104" s="52"/>
      <c r="J104" s="53"/>
      <c r="K104" s="36"/>
      <c r="L104" s="38"/>
      <c r="M104" s="54">
        <v>0.01</v>
      </c>
      <c r="N104" s="55">
        <v>0.09</v>
      </c>
      <c r="O104" s="56">
        <v>0.05</v>
      </c>
      <c r="P104" s="36"/>
      <c r="Q104" s="36"/>
      <c r="R104" s="60">
        <v>4.9999999999999999E-20</v>
      </c>
      <c r="S104" s="54">
        <v>7</v>
      </c>
      <c r="T104" s="55">
        <v>50</v>
      </c>
      <c r="U104" s="56">
        <v>20</v>
      </c>
      <c r="V104" s="55"/>
      <c r="W104" s="55"/>
      <c r="X104" s="56">
        <v>0.22</v>
      </c>
      <c r="Y104" s="54"/>
      <c r="Z104" s="56"/>
      <c r="AA104" s="54"/>
      <c r="AB104" s="56"/>
      <c r="AC104" s="54"/>
      <c r="AD104" s="56"/>
      <c r="AE104" s="54"/>
      <c r="AF104" s="56"/>
      <c r="AG104" s="55"/>
      <c r="AH104" s="56"/>
      <c r="AI104" s="54">
        <v>50</v>
      </c>
      <c r="AJ104" s="56">
        <v>100</v>
      </c>
      <c r="AK104" s="55"/>
      <c r="AL104" s="56"/>
      <c r="AM104" s="54"/>
      <c r="AN104" s="56"/>
      <c r="AO104" s="59"/>
      <c r="AP104" s="60"/>
      <c r="AQ104" s="61">
        <v>3000</v>
      </c>
      <c r="AR104" s="62"/>
      <c r="AS104" s="38" t="s">
        <v>725</v>
      </c>
      <c r="AT104" s="63">
        <v>2.5999999999999999E-2</v>
      </c>
      <c r="AU104" s="64">
        <v>0</v>
      </c>
      <c r="AV104" s="64"/>
      <c r="AW104" s="53">
        <f>PRODUCT(AT104,CV104)</f>
        <v>70.2</v>
      </c>
      <c r="AX104" s="65">
        <v>0.03</v>
      </c>
      <c r="AY104" s="64">
        <v>0</v>
      </c>
      <c r="AZ104" s="64"/>
      <c r="BA104" s="53">
        <f>PRODUCT(AX104,CV104)+AY104</f>
        <v>81</v>
      </c>
      <c r="BB104" s="63">
        <v>2.5000000000000001E-2</v>
      </c>
      <c r="BC104" s="64">
        <v>0</v>
      </c>
      <c r="BD104" s="64"/>
      <c r="BE104" s="53">
        <f>PRODUCT(BB104,CV104)</f>
        <v>67.5</v>
      </c>
      <c r="BF104" s="36" t="s">
        <v>636</v>
      </c>
      <c r="BG104" s="38" t="s">
        <v>546</v>
      </c>
      <c r="BH104" s="63">
        <v>0.02</v>
      </c>
      <c r="BI104" s="64">
        <v>0</v>
      </c>
      <c r="BJ104" s="64"/>
      <c r="BK104" s="53">
        <f>BH104*CV104+BI104</f>
        <v>54</v>
      </c>
      <c r="BL104" s="66"/>
      <c r="BM104" s="62"/>
      <c r="BN104" s="37" t="s">
        <v>850</v>
      </c>
      <c r="BO104" s="38"/>
      <c r="BP104" s="36"/>
      <c r="BQ104" s="38"/>
      <c r="BR104" s="37" t="s">
        <v>851</v>
      </c>
      <c r="BS104" s="38"/>
      <c r="BT104" s="35" t="s">
        <v>852</v>
      </c>
      <c r="BU104" s="38" t="s">
        <v>577</v>
      </c>
      <c r="BV104" s="66"/>
      <c r="BW104" s="62"/>
      <c r="BX104" s="66"/>
      <c r="BY104" s="62"/>
      <c r="BZ104" s="67">
        <v>0</v>
      </c>
      <c r="CA104" s="61">
        <v>1000</v>
      </c>
      <c r="CB104" s="62"/>
      <c r="CC104" s="37"/>
      <c r="CD104" s="38"/>
      <c r="CE104" s="64"/>
      <c r="CF104" s="53"/>
      <c r="CG104" s="37"/>
      <c r="CH104" s="38"/>
      <c r="CI104" s="36"/>
      <c r="CJ104" s="38"/>
      <c r="CK104" s="37"/>
      <c r="CL104" s="38"/>
      <c r="CM104" s="36"/>
      <c r="CN104" s="38"/>
      <c r="CO104" s="37"/>
      <c r="CP104" s="38"/>
      <c r="CQ104" s="37"/>
      <c r="CR104" s="38"/>
      <c r="CS104" s="37"/>
      <c r="CT104" s="38"/>
      <c r="CU104" s="66"/>
      <c r="CV104" s="61">
        <v>2700</v>
      </c>
      <c r="CW104" s="35"/>
      <c r="CX104" s="68"/>
      <c r="CY104" s="37"/>
      <c r="CZ104" s="35"/>
      <c r="DA104" s="60"/>
      <c r="DB104" s="69"/>
      <c r="DC104" s="60"/>
      <c r="DD104" s="69"/>
      <c r="DE104" s="60"/>
      <c r="DF104" s="70"/>
      <c r="DG104" s="70"/>
      <c r="DH104" s="71">
        <v>43519</v>
      </c>
      <c r="DI104" s="64"/>
      <c r="DJ104" s="35"/>
      <c r="DK104" s="61">
        <v>1000</v>
      </c>
      <c r="DL104" s="61">
        <v>2600</v>
      </c>
      <c r="DM104" s="72"/>
      <c r="DN104" s="64"/>
      <c r="DO104" s="72"/>
      <c r="DP104" s="64"/>
      <c r="DQ104" s="72"/>
      <c r="DR104" s="64"/>
      <c r="DS104" s="70">
        <v>4.3</v>
      </c>
      <c r="DT104" s="36" t="s">
        <v>541</v>
      </c>
      <c r="DU104" s="66"/>
      <c r="DV104" s="62">
        <v>1000</v>
      </c>
      <c r="DW104" s="62">
        <v>100</v>
      </c>
      <c r="DX104" s="73">
        <v>43521</v>
      </c>
      <c r="DY104" s="4" t="s">
        <v>853</v>
      </c>
      <c r="DZ104" s="74" t="s">
        <v>854</v>
      </c>
      <c r="EA104" s="241" t="s">
        <v>855</v>
      </c>
    </row>
    <row r="105" spans="1:131" x14ac:dyDescent="0.4">
      <c r="A105" s="18" t="s">
        <v>212</v>
      </c>
      <c r="B105" s="19" t="s">
        <v>221</v>
      </c>
      <c r="C105" s="8">
        <v>28.25</v>
      </c>
      <c r="D105" s="8">
        <v>104.95</v>
      </c>
      <c r="E105" s="7" t="s">
        <v>170</v>
      </c>
      <c r="F105" s="19" t="s">
        <v>222</v>
      </c>
      <c r="G105" s="29" t="s">
        <v>223</v>
      </c>
      <c r="H105" s="18" t="s">
        <v>224</v>
      </c>
      <c r="I105" s="52"/>
      <c r="J105" s="53"/>
      <c r="K105" s="36"/>
      <c r="L105" s="38"/>
      <c r="M105" s="54"/>
      <c r="N105" s="55"/>
      <c r="O105" s="56">
        <v>0.15</v>
      </c>
      <c r="P105" s="36"/>
      <c r="Q105" s="36"/>
      <c r="R105" s="60">
        <v>1E-13</v>
      </c>
      <c r="S105" s="54"/>
      <c r="T105" s="55"/>
      <c r="U105" s="56"/>
      <c r="V105" s="55"/>
      <c r="W105" s="55"/>
      <c r="X105" s="56">
        <v>0.25</v>
      </c>
      <c r="Y105" s="54"/>
      <c r="Z105" s="56"/>
      <c r="AA105" s="54"/>
      <c r="AB105" s="56"/>
      <c r="AC105" s="54"/>
      <c r="AD105" s="56"/>
      <c r="AE105" s="54"/>
      <c r="AF105" s="56"/>
      <c r="AG105" s="55"/>
      <c r="AH105" s="56"/>
      <c r="AI105" s="54"/>
      <c r="AJ105" s="56"/>
      <c r="AK105" s="55"/>
      <c r="AL105" s="56"/>
      <c r="AM105" s="54"/>
      <c r="AN105" s="56"/>
      <c r="AO105" s="59"/>
      <c r="AP105" s="60"/>
      <c r="AQ105" s="61"/>
      <c r="AR105" s="62"/>
      <c r="AS105" s="38"/>
      <c r="AT105" s="63"/>
      <c r="AU105" s="64"/>
      <c r="AV105" s="64"/>
      <c r="AW105" s="53"/>
      <c r="AX105" s="65"/>
      <c r="AY105" s="64"/>
      <c r="AZ105" s="64"/>
      <c r="BA105" s="53"/>
      <c r="BB105" s="63"/>
      <c r="BC105" s="64"/>
      <c r="BD105" s="64"/>
      <c r="BE105" s="53"/>
      <c r="BF105" s="36"/>
      <c r="BG105" s="38" t="s">
        <v>856</v>
      </c>
      <c r="BH105" s="63"/>
      <c r="BI105" s="64"/>
      <c r="BJ105" s="64"/>
      <c r="BK105" s="53"/>
      <c r="BL105" s="66"/>
      <c r="BM105" s="62"/>
      <c r="BN105" s="37"/>
      <c r="BO105" s="38"/>
      <c r="BP105" s="36"/>
      <c r="BQ105" s="38"/>
      <c r="BR105" s="37"/>
      <c r="BS105" s="38"/>
      <c r="BT105" s="35"/>
      <c r="BU105" s="38"/>
      <c r="BV105" s="66"/>
      <c r="BW105" s="62"/>
      <c r="BX105" s="66"/>
      <c r="BY105" s="62"/>
      <c r="BZ105" s="67"/>
      <c r="CA105" s="61"/>
      <c r="CB105" s="62"/>
      <c r="CC105" s="37"/>
      <c r="CD105" s="38"/>
      <c r="CE105" s="64"/>
      <c r="CF105" s="130">
        <v>0.15</v>
      </c>
      <c r="CG105" s="127"/>
      <c r="CH105" s="165">
        <v>1E-13</v>
      </c>
      <c r="CI105" s="36"/>
      <c r="CJ105" s="38"/>
      <c r="CK105" s="37"/>
      <c r="CL105" s="38">
        <v>32</v>
      </c>
      <c r="CM105" s="36"/>
      <c r="CN105" s="38"/>
      <c r="CO105" s="37"/>
      <c r="CP105" s="38"/>
      <c r="CQ105" s="37"/>
      <c r="CR105" s="38">
        <v>0.25</v>
      </c>
      <c r="CS105" s="37"/>
      <c r="CT105" s="38"/>
      <c r="CU105" s="66">
        <v>2700</v>
      </c>
      <c r="CV105" s="61">
        <v>3000</v>
      </c>
      <c r="CW105" s="35" t="s">
        <v>266</v>
      </c>
      <c r="CX105" s="68">
        <v>32874</v>
      </c>
      <c r="CY105" s="19"/>
      <c r="CZ105" s="29"/>
      <c r="DA105" s="60">
        <v>2.2499999999999998E-3</v>
      </c>
      <c r="DB105" s="69">
        <v>850000</v>
      </c>
      <c r="DC105" s="60"/>
      <c r="DD105" s="69"/>
      <c r="DE105" s="60"/>
      <c r="DF105" s="70">
        <v>8</v>
      </c>
      <c r="DG105" s="70"/>
      <c r="DH105" s="71">
        <v>43633</v>
      </c>
      <c r="DI105" s="64"/>
      <c r="DJ105" s="35">
        <v>4000</v>
      </c>
      <c r="DK105" s="61">
        <v>1000</v>
      </c>
      <c r="DL105" s="61">
        <v>6000</v>
      </c>
      <c r="DM105" s="72"/>
      <c r="DN105" s="64"/>
      <c r="DO105" s="72"/>
      <c r="DP105" s="64">
        <v>1.01</v>
      </c>
      <c r="DQ105" s="72"/>
      <c r="DR105" s="64"/>
      <c r="DS105" s="70">
        <v>5.69</v>
      </c>
      <c r="DT105" s="36" t="s">
        <v>581</v>
      </c>
      <c r="DU105" s="66">
        <v>4000</v>
      </c>
      <c r="DV105" s="137">
        <v>5000</v>
      </c>
      <c r="DW105" s="137"/>
      <c r="DX105" s="73">
        <v>43633</v>
      </c>
      <c r="DY105" s="18" t="s">
        <v>857</v>
      </c>
      <c r="DZ105" s="182" t="s">
        <v>858</v>
      </c>
      <c r="EA105" s="247" t="s">
        <v>847</v>
      </c>
    </row>
    <row r="106" spans="1:131" x14ac:dyDescent="0.4">
      <c r="A106" s="4" t="s">
        <v>212</v>
      </c>
      <c r="B106" s="5" t="s">
        <v>225</v>
      </c>
      <c r="C106" s="8">
        <v>29.521174999999999</v>
      </c>
      <c r="D106" s="8">
        <v>104.829375</v>
      </c>
      <c r="E106" s="7" t="s">
        <v>170</v>
      </c>
      <c r="F106" s="5" t="s">
        <v>171</v>
      </c>
      <c r="G106" s="7" t="s">
        <v>216</v>
      </c>
      <c r="H106" s="4" t="s">
        <v>173</v>
      </c>
      <c r="I106" s="52"/>
      <c r="J106" s="53"/>
      <c r="K106" s="36">
        <v>2650</v>
      </c>
      <c r="L106" s="38">
        <v>2650</v>
      </c>
      <c r="M106" s="54">
        <v>0.01</v>
      </c>
      <c r="N106" s="55">
        <v>0.09</v>
      </c>
      <c r="O106" s="56">
        <v>0.05</v>
      </c>
      <c r="P106" s="36"/>
      <c r="Q106" s="180"/>
      <c r="R106" s="60">
        <v>4.9999999999999999E-20</v>
      </c>
      <c r="S106" s="54">
        <v>7</v>
      </c>
      <c r="T106" s="55">
        <v>50</v>
      </c>
      <c r="U106" s="56">
        <v>20</v>
      </c>
      <c r="V106" s="55"/>
      <c r="W106" s="55"/>
      <c r="X106" s="56">
        <v>0.22</v>
      </c>
      <c r="Y106" s="54"/>
      <c r="Z106" s="56"/>
      <c r="AA106" s="54"/>
      <c r="AB106" s="56"/>
      <c r="AC106" s="54"/>
      <c r="AD106" s="56"/>
      <c r="AE106" s="54"/>
      <c r="AF106" s="56"/>
      <c r="AG106" s="55"/>
      <c r="AH106" s="56"/>
      <c r="AI106" s="54">
        <v>50</v>
      </c>
      <c r="AJ106" s="56">
        <v>100</v>
      </c>
      <c r="AK106" s="55"/>
      <c r="AL106" s="56"/>
      <c r="AM106" s="54"/>
      <c r="AN106" s="56"/>
      <c r="AO106" s="59"/>
      <c r="AP106" s="60"/>
      <c r="AQ106" s="61"/>
      <c r="AR106" s="62"/>
      <c r="AS106" s="38" t="s">
        <v>725</v>
      </c>
      <c r="AT106" s="63">
        <v>2.5999999999999999E-2</v>
      </c>
      <c r="AU106" s="64">
        <v>0</v>
      </c>
      <c r="AV106" s="64"/>
      <c r="AW106" s="53">
        <f>PRODUCT(AT106,CV106)</f>
        <v>78</v>
      </c>
      <c r="AX106" s="65">
        <v>0.03</v>
      </c>
      <c r="AY106" s="64">
        <v>0</v>
      </c>
      <c r="AZ106" s="64"/>
      <c r="BA106" s="53">
        <f>PRODUCT(AX106,CV106)+AY106</f>
        <v>90</v>
      </c>
      <c r="BB106" s="63">
        <v>2.5000000000000001E-2</v>
      </c>
      <c r="BC106" s="64">
        <v>0</v>
      </c>
      <c r="BD106" s="64"/>
      <c r="BE106" s="53">
        <f>PRODUCT(BB106,CV106)</f>
        <v>75</v>
      </c>
      <c r="BF106" s="36" t="s">
        <v>636</v>
      </c>
      <c r="BG106" s="38" t="s">
        <v>546</v>
      </c>
      <c r="BH106" s="63">
        <v>0.02</v>
      </c>
      <c r="BI106" s="64">
        <v>0</v>
      </c>
      <c r="BJ106" s="64"/>
      <c r="BK106" s="53">
        <f>BH106*CV106+BI106</f>
        <v>60</v>
      </c>
      <c r="BL106" s="66"/>
      <c r="BM106" s="62"/>
      <c r="BN106" s="37"/>
      <c r="BO106" s="38"/>
      <c r="BP106" s="36"/>
      <c r="BQ106" s="38"/>
      <c r="BR106" s="37"/>
      <c r="BS106" s="38"/>
      <c r="BT106" s="35"/>
      <c r="BU106" s="38"/>
      <c r="BV106" s="66"/>
      <c r="BW106" s="62"/>
      <c r="BX106" s="66"/>
      <c r="BY106" s="62"/>
      <c r="BZ106" s="67"/>
      <c r="CA106" s="61"/>
      <c r="CB106" s="62"/>
      <c r="CC106" s="37"/>
      <c r="CD106" s="38"/>
      <c r="CE106" s="64"/>
      <c r="CF106" s="53"/>
      <c r="CG106" s="37"/>
      <c r="CH106" s="38"/>
      <c r="CI106" s="36"/>
      <c r="CJ106" s="38"/>
      <c r="CK106" s="37"/>
      <c r="CL106" s="38"/>
      <c r="CM106" s="36"/>
      <c r="CN106" s="38"/>
      <c r="CO106" s="37"/>
      <c r="CP106" s="38"/>
      <c r="CQ106" s="37"/>
      <c r="CR106" s="38"/>
      <c r="CS106" s="37"/>
      <c r="CT106" s="38"/>
      <c r="CU106" s="66">
        <v>2300</v>
      </c>
      <c r="CV106" s="61">
        <v>3000</v>
      </c>
      <c r="CW106" s="35" t="s">
        <v>859</v>
      </c>
      <c r="CX106" s="68">
        <v>42005</v>
      </c>
      <c r="CY106" s="37"/>
      <c r="CZ106" s="35"/>
      <c r="DA106" s="60"/>
      <c r="DB106" s="69"/>
      <c r="DC106" s="60"/>
      <c r="DD106" s="69"/>
      <c r="DE106" s="60"/>
      <c r="DF106" s="70"/>
      <c r="DG106" s="70"/>
      <c r="DH106" s="71">
        <v>42005</v>
      </c>
      <c r="DI106" s="64"/>
      <c r="DJ106" s="35"/>
      <c r="DK106" s="61"/>
      <c r="DL106" s="61"/>
      <c r="DM106" s="72"/>
      <c r="DN106" s="64"/>
      <c r="DO106" s="72"/>
      <c r="DP106" s="64"/>
      <c r="DQ106" s="72"/>
      <c r="DR106" s="64"/>
      <c r="DS106" s="70">
        <v>3.4</v>
      </c>
      <c r="DT106" s="36" t="s">
        <v>541</v>
      </c>
      <c r="DU106" s="66"/>
      <c r="DV106" s="62"/>
      <c r="DW106" s="62"/>
      <c r="DX106" s="73">
        <v>42370</v>
      </c>
      <c r="DY106" s="4" t="s">
        <v>860</v>
      </c>
      <c r="DZ106" s="74"/>
      <c r="EA106" s="241" t="s">
        <v>861</v>
      </c>
    </row>
    <row r="107" spans="1:131" x14ac:dyDescent="0.4">
      <c r="A107" s="25" t="s">
        <v>226</v>
      </c>
      <c r="B107" s="26" t="s">
        <v>227</v>
      </c>
      <c r="C107" s="8">
        <v>54.094214999999998</v>
      </c>
      <c r="D107" s="8">
        <v>18.306011999999999</v>
      </c>
      <c r="E107" s="7" t="s">
        <v>170</v>
      </c>
      <c r="F107" s="26" t="s">
        <v>171</v>
      </c>
      <c r="G107" s="15"/>
      <c r="H107" s="25" t="s">
        <v>173</v>
      </c>
      <c r="I107" s="144"/>
      <c r="J107" s="130"/>
      <c r="K107" s="122"/>
      <c r="L107" s="128"/>
      <c r="M107" s="123"/>
      <c r="N107" s="124"/>
      <c r="O107" s="125"/>
      <c r="P107" s="122"/>
      <c r="Q107" s="122"/>
      <c r="R107" s="60"/>
      <c r="S107" s="123"/>
      <c r="T107" s="124"/>
      <c r="U107" s="125"/>
      <c r="V107" s="124"/>
      <c r="W107" s="124"/>
      <c r="X107" s="125"/>
      <c r="Y107" s="123"/>
      <c r="Z107" s="125"/>
      <c r="AA107" s="123"/>
      <c r="AB107" s="125"/>
      <c r="AC107" s="123"/>
      <c r="AD107" s="125"/>
      <c r="AE107" s="123"/>
      <c r="AF107" s="125"/>
      <c r="AG107" s="124"/>
      <c r="AH107" s="125"/>
      <c r="AI107" s="123"/>
      <c r="AJ107" s="125"/>
      <c r="AK107" s="124"/>
      <c r="AL107" s="125"/>
      <c r="AM107" s="123"/>
      <c r="AN107" s="125"/>
      <c r="AO107" s="141"/>
      <c r="AP107" s="165"/>
      <c r="AQ107" s="167"/>
      <c r="AR107" s="168"/>
      <c r="AS107" s="128"/>
      <c r="AT107" s="169"/>
      <c r="AU107" s="129"/>
      <c r="AV107" s="129"/>
      <c r="AW107" s="53"/>
      <c r="AX107" s="170"/>
      <c r="AY107" s="129"/>
      <c r="AZ107" s="129"/>
      <c r="BA107" s="53"/>
      <c r="BB107" s="169"/>
      <c r="BC107" s="129"/>
      <c r="BD107" s="129"/>
      <c r="BE107" s="53"/>
      <c r="BF107" s="122"/>
      <c r="BG107" s="128"/>
      <c r="BH107" s="169"/>
      <c r="BI107" s="129"/>
      <c r="BJ107" s="129"/>
      <c r="BK107" s="130"/>
      <c r="BL107" s="171"/>
      <c r="BM107" s="168"/>
      <c r="BN107" s="127"/>
      <c r="BO107" s="128"/>
      <c r="BP107" s="122"/>
      <c r="BQ107" s="128"/>
      <c r="BR107" s="127"/>
      <c r="BS107" s="128"/>
      <c r="BT107" s="172"/>
      <c r="BU107" s="128"/>
      <c r="BV107" s="171"/>
      <c r="BW107" s="168"/>
      <c r="BX107" s="171"/>
      <c r="BY107" s="168"/>
      <c r="BZ107" s="173"/>
      <c r="CA107" s="167"/>
      <c r="CB107" s="168"/>
      <c r="CC107" s="127"/>
      <c r="CD107" s="128"/>
      <c r="CE107" s="129"/>
      <c r="CF107" s="130"/>
      <c r="CG107" s="127"/>
      <c r="CH107" s="128"/>
      <c r="CI107" s="122"/>
      <c r="CJ107" s="128"/>
      <c r="CK107" s="127"/>
      <c r="CL107" s="128"/>
      <c r="CM107" s="122"/>
      <c r="CN107" s="128"/>
      <c r="CO107" s="127"/>
      <c r="CP107" s="128"/>
      <c r="CQ107" s="127"/>
      <c r="CR107" s="128"/>
      <c r="CS107" s="127"/>
      <c r="CT107" s="128"/>
      <c r="CU107" s="66">
        <v>4000</v>
      </c>
      <c r="CV107" s="167"/>
      <c r="CW107" s="172" t="s">
        <v>862</v>
      </c>
      <c r="CX107" s="174">
        <v>42530</v>
      </c>
      <c r="CY107" s="26"/>
      <c r="CZ107" s="15"/>
      <c r="DA107" s="165"/>
      <c r="DB107" s="163"/>
      <c r="DC107" s="165">
        <v>18812</v>
      </c>
      <c r="DD107" s="163"/>
      <c r="DE107" s="165"/>
      <c r="DF107" s="75">
        <v>90.5</v>
      </c>
      <c r="DG107" s="75"/>
      <c r="DH107" s="175"/>
      <c r="DI107" s="129"/>
      <c r="DJ107" s="172">
        <v>162</v>
      </c>
      <c r="DK107" s="167"/>
      <c r="DL107" s="61">
        <v>150</v>
      </c>
      <c r="DM107" s="176"/>
      <c r="DN107" s="129"/>
      <c r="DO107" s="176"/>
      <c r="DP107" s="129"/>
      <c r="DQ107" s="176"/>
      <c r="DR107" s="129"/>
      <c r="DS107" s="70">
        <v>0.5</v>
      </c>
      <c r="DT107" s="36" t="s">
        <v>541</v>
      </c>
      <c r="DU107" s="162"/>
      <c r="DV107" s="166"/>
      <c r="DW107" s="166"/>
      <c r="DX107" s="177">
        <v>42546</v>
      </c>
      <c r="DY107" s="178"/>
      <c r="DZ107" s="179" t="s">
        <v>863</v>
      </c>
      <c r="EA107" s="246" t="s">
        <v>864</v>
      </c>
    </row>
    <row r="108" spans="1:131" x14ac:dyDescent="0.4">
      <c r="A108" s="25" t="s">
        <v>226</v>
      </c>
      <c r="B108" s="26" t="s">
        <v>228</v>
      </c>
      <c r="C108" s="8">
        <v>54.093609000000001</v>
      </c>
      <c r="D108" s="8">
        <v>18.305637999999998</v>
      </c>
      <c r="E108" s="7" t="s">
        <v>170</v>
      </c>
      <c r="F108" s="26" t="s">
        <v>171</v>
      </c>
      <c r="G108" s="15"/>
      <c r="H108" s="25" t="s">
        <v>173</v>
      </c>
      <c r="I108" s="144"/>
      <c r="J108" s="130"/>
      <c r="K108" s="122"/>
      <c r="L108" s="128"/>
      <c r="M108" s="123"/>
      <c r="N108" s="124"/>
      <c r="O108" s="125"/>
      <c r="P108" s="122"/>
      <c r="Q108" s="122"/>
      <c r="R108" s="60"/>
      <c r="S108" s="123"/>
      <c r="T108" s="124"/>
      <c r="U108" s="125"/>
      <c r="V108" s="124"/>
      <c r="W108" s="124"/>
      <c r="X108" s="125"/>
      <c r="Y108" s="123"/>
      <c r="Z108" s="125"/>
      <c r="AA108" s="123"/>
      <c r="AB108" s="125"/>
      <c r="AC108" s="123"/>
      <c r="AD108" s="125"/>
      <c r="AE108" s="123"/>
      <c r="AF108" s="125"/>
      <c r="AG108" s="124"/>
      <c r="AH108" s="125"/>
      <c r="AI108" s="123"/>
      <c r="AJ108" s="125"/>
      <c r="AK108" s="124"/>
      <c r="AL108" s="125"/>
      <c r="AM108" s="123"/>
      <c r="AN108" s="125"/>
      <c r="AO108" s="141"/>
      <c r="AP108" s="165"/>
      <c r="AQ108" s="167"/>
      <c r="AR108" s="168"/>
      <c r="AS108" s="128"/>
      <c r="AT108" s="169"/>
      <c r="AU108" s="129"/>
      <c r="AV108" s="129"/>
      <c r="AW108" s="53"/>
      <c r="AX108" s="170"/>
      <c r="AY108" s="129"/>
      <c r="AZ108" s="129"/>
      <c r="BA108" s="53"/>
      <c r="BB108" s="169"/>
      <c r="BC108" s="129"/>
      <c r="BD108" s="129"/>
      <c r="BE108" s="53"/>
      <c r="BF108" s="122"/>
      <c r="BG108" s="128"/>
      <c r="BH108" s="169"/>
      <c r="BI108" s="129"/>
      <c r="BJ108" s="129"/>
      <c r="BK108" s="130"/>
      <c r="BL108" s="171"/>
      <c r="BM108" s="168"/>
      <c r="BN108" s="127"/>
      <c r="BO108" s="128"/>
      <c r="BP108" s="122"/>
      <c r="BQ108" s="128"/>
      <c r="BR108" s="127"/>
      <c r="BS108" s="128"/>
      <c r="BT108" s="172"/>
      <c r="BU108" s="128"/>
      <c r="BV108" s="171"/>
      <c r="BW108" s="168"/>
      <c r="BX108" s="171"/>
      <c r="BY108" s="168"/>
      <c r="BZ108" s="173"/>
      <c r="CA108" s="167"/>
      <c r="CB108" s="168"/>
      <c r="CC108" s="127"/>
      <c r="CD108" s="128"/>
      <c r="CE108" s="129"/>
      <c r="CF108" s="130"/>
      <c r="CG108" s="127"/>
      <c r="CH108" s="128"/>
      <c r="CI108" s="122"/>
      <c r="CJ108" s="128"/>
      <c r="CK108" s="127"/>
      <c r="CL108" s="128"/>
      <c r="CM108" s="122"/>
      <c r="CN108" s="128"/>
      <c r="CO108" s="127"/>
      <c r="CP108" s="128"/>
      <c r="CQ108" s="127"/>
      <c r="CR108" s="128"/>
      <c r="CS108" s="127"/>
      <c r="CT108" s="128"/>
      <c r="CU108" s="66">
        <v>4000</v>
      </c>
      <c r="CV108" s="167"/>
      <c r="CW108" s="172" t="s">
        <v>862</v>
      </c>
      <c r="CX108" s="174">
        <v>42571</v>
      </c>
      <c r="CY108" s="26"/>
      <c r="CZ108" s="15"/>
      <c r="DA108" s="165"/>
      <c r="DB108" s="163"/>
      <c r="DC108" s="165">
        <v>17230</v>
      </c>
      <c r="DD108" s="163"/>
      <c r="DE108" s="165"/>
      <c r="DF108" s="75">
        <v>90.5</v>
      </c>
      <c r="DG108" s="75"/>
      <c r="DH108" s="175"/>
      <c r="DI108" s="129"/>
      <c r="DJ108" s="172">
        <v>162</v>
      </c>
      <c r="DK108" s="167"/>
      <c r="DL108" s="61">
        <v>150</v>
      </c>
      <c r="DM108" s="176"/>
      <c r="DN108" s="129"/>
      <c r="DO108" s="176"/>
      <c r="DP108" s="129"/>
      <c r="DQ108" s="176"/>
      <c r="DR108" s="129"/>
      <c r="DS108" s="70">
        <v>1</v>
      </c>
      <c r="DT108" s="36" t="s">
        <v>541</v>
      </c>
      <c r="DU108" s="162"/>
      <c r="DV108" s="166"/>
      <c r="DW108" s="166"/>
      <c r="DX108" s="177">
        <v>42613</v>
      </c>
      <c r="DY108" s="178"/>
      <c r="DZ108" s="179" t="s">
        <v>863</v>
      </c>
      <c r="EA108" s="246" t="s">
        <v>864</v>
      </c>
    </row>
    <row r="109" spans="1:131" ht="23.15" x14ac:dyDescent="0.4">
      <c r="A109" s="4" t="s">
        <v>150</v>
      </c>
      <c r="B109" s="5" t="s">
        <v>229</v>
      </c>
      <c r="C109" s="8">
        <v>53.822283329999998</v>
      </c>
      <c r="D109" s="8">
        <v>-2.950583333</v>
      </c>
      <c r="E109" s="7" t="s">
        <v>170</v>
      </c>
      <c r="F109" s="5" t="s">
        <v>171</v>
      </c>
      <c r="G109" s="7" t="s">
        <v>230</v>
      </c>
      <c r="H109" s="4" t="s">
        <v>173</v>
      </c>
      <c r="I109" s="52"/>
      <c r="J109" s="53"/>
      <c r="K109" s="99">
        <v>2590</v>
      </c>
      <c r="L109" s="100">
        <v>2640</v>
      </c>
      <c r="M109" s="101">
        <v>2.4E-2</v>
      </c>
      <c r="N109" s="103">
        <v>4.4999999999999998E-2</v>
      </c>
      <c r="O109" s="102">
        <f>AVERAGE(M109,N109)</f>
        <v>3.4500000000000003E-2</v>
      </c>
      <c r="P109" s="57">
        <v>9.9999999999999995E-21</v>
      </c>
      <c r="Q109" s="57">
        <v>9.9999999999999998E-20</v>
      </c>
      <c r="R109" s="58">
        <f>AVERAGE(P109,Q109)</f>
        <v>5.4999999999999996E-20</v>
      </c>
      <c r="S109" s="101">
        <v>16.5</v>
      </c>
      <c r="T109" s="103">
        <v>52</v>
      </c>
      <c r="U109" s="102">
        <f>AVERAGE(S109,T109)</f>
        <v>34.25</v>
      </c>
      <c r="V109" s="103">
        <v>0.11</v>
      </c>
      <c r="W109" s="103">
        <v>0.31</v>
      </c>
      <c r="X109" s="102">
        <f>AVERAGE(V109,W109)</f>
        <v>0.21</v>
      </c>
      <c r="Y109" s="54">
        <f t="shared" ref="Y109:Z113" si="12">S109/(3*(1-2*V109))</f>
        <v>7.051282051282052</v>
      </c>
      <c r="Z109" s="56">
        <f t="shared" si="12"/>
        <v>45.614035087719294</v>
      </c>
      <c r="AA109" s="54">
        <f t="shared" ref="AA109:AB113" si="13">S109/(2*(1+V109))</f>
        <v>7.4324324324324316</v>
      </c>
      <c r="AB109" s="56">
        <f t="shared" si="13"/>
        <v>19.847328244274809</v>
      </c>
      <c r="AC109" s="101"/>
      <c r="AD109" s="102"/>
      <c r="AE109" s="101">
        <v>43</v>
      </c>
      <c r="AF109" s="102">
        <v>48.6</v>
      </c>
      <c r="AG109" s="103">
        <v>10</v>
      </c>
      <c r="AH109" s="102">
        <v>17.600000000000001</v>
      </c>
      <c r="AI109" s="101">
        <v>18</v>
      </c>
      <c r="AJ109" s="102">
        <v>108</v>
      </c>
      <c r="AK109" s="103">
        <v>3</v>
      </c>
      <c r="AL109" s="102">
        <v>17</v>
      </c>
      <c r="AM109" s="54"/>
      <c r="AN109" s="56"/>
      <c r="AO109" s="59"/>
      <c r="AP109" s="60"/>
      <c r="AQ109" s="104"/>
      <c r="AR109" s="105"/>
      <c r="AS109" s="100" t="s">
        <v>535</v>
      </c>
      <c r="AT109" s="106">
        <v>2.35E-2</v>
      </c>
      <c r="AU109" s="107">
        <v>0</v>
      </c>
      <c r="AV109" s="64">
        <f>PRODUCT(AT109,CU109)</f>
        <v>62.274999999999999</v>
      </c>
      <c r="AW109" s="53">
        <f>PRODUCT(AT109,CV109)</f>
        <v>62.744999999999997</v>
      </c>
      <c r="AX109" s="108">
        <v>2.828E-2</v>
      </c>
      <c r="AY109" s="107">
        <v>0</v>
      </c>
      <c r="AZ109" s="64">
        <f>PRODUCT(AX109,CU109)</f>
        <v>74.941999999999993</v>
      </c>
      <c r="BA109" s="53">
        <f>PRODUCT(AX109,CV109)</f>
        <v>75.507599999999996</v>
      </c>
      <c r="BB109" s="106">
        <v>1.6969999999999999E-2</v>
      </c>
      <c r="BC109" s="107">
        <v>0</v>
      </c>
      <c r="BD109" s="64">
        <f>PRODUCT(BB109,CU109)</f>
        <v>44.970499999999994</v>
      </c>
      <c r="BE109" s="53">
        <f>PRODUCT(BB109,CV109)</f>
        <v>45.309899999999999</v>
      </c>
      <c r="BF109" s="36"/>
      <c r="BG109" s="100" t="s">
        <v>699</v>
      </c>
      <c r="BH109" s="106">
        <v>1.5599999999999999E-2</v>
      </c>
      <c r="BI109" s="64">
        <v>0</v>
      </c>
      <c r="BJ109" s="64">
        <f>BH109*CU109</f>
        <v>41.339999999999996</v>
      </c>
      <c r="BK109" s="53">
        <f>PRODUCT(BH109,CV109)</f>
        <v>41.652000000000001</v>
      </c>
      <c r="BL109" s="66"/>
      <c r="BM109" s="62"/>
      <c r="BN109" s="37"/>
      <c r="BO109" s="38"/>
      <c r="BP109" s="36"/>
      <c r="BQ109" s="38"/>
      <c r="BR109" s="37"/>
      <c r="BS109" s="38"/>
      <c r="BT109" s="35"/>
      <c r="BU109" s="100" t="s">
        <v>535</v>
      </c>
      <c r="BV109" s="66"/>
      <c r="BW109" s="62"/>
      <c r="BX109" s="66"/>
      <c r="BY109" s="62"/>
      <c r="BZ109" s="67"/>
      <c r="CA109" s="61"/>
      <c r="CB109" s="62"/>
      <c r="CC109" s="37"/>
      <c r="CD109" s="38"/>
      <c r="CE109" s="64"/>
      <c r="CF109" s="53"/>
      <c r="CG109" s="37"/>
      <c r="CH109" s="38"/>
      <c r="CI109" s="36"/>
      <c r="CJ109" s="38"/>
      <c r="CK109" s="37"/>
      <c r="CL109" s="38"/>
      <c r="CM109" s="36"/>
      <c r="CN109" s="38"/>
      <c r="CO109" s="37"/>
      <c r="CP109" s="38"/>
      <c r="CQ109" s="37"/>
      <c r="CR109" s="38"/>
      <c r="CS109" s="109">
        <v>6</v>
      </c>
      <c r="CT109" s="100">
        <v>23</v>
      </c>
      <c r="CU109" s="110">
        <v>2650</v>
      </c>
      <c r="CV109" s="104">
        <v>2670</v>
      </c>
      <c r="CW109" s="35" t="s">
        <v>266</v>
      </c>
      <c r="CX109" s="68">
        <v>40630</v>
      </c>
      <c r="CY109" s="37" t="s">
        <v>865</v>
      </c>
      <c r="CZ109" s="35"/>
      <c r="DA109" s="58">
        <v>0.16</v>
      </c>
      <c r="DB109" s="112"/>
      <c r="DC109" s="58">
        <v>4200</v>
      </c>
      <c r="DD109" s="69"/>
      <c r="DE109" s="60"/>
      <c r="DF109" s="116">
        <v>54</v>
      </c>
      <c r="DG109" s="116">
        <v>60</v>
      </c>
      <c r="DH109" s="71">
        <v>40633</v>
      </c>
      <c r="DI109" s="64"/>
      <c r="DJ109" s="134">
        <v>50</v>
      </c>
      <c r="DK109" s="61"/>
      <c r="DL109" s="61"/>
      <c r="DM109" s="72"/>
      <c r="DN109" s="64"/>
      <c r="DO109" s="72"/>
      <c r="DP109" s="64"/>
      <c r="DQ109" s="72"/>
      <c r="DR109" s="107">
        <v>1</v>
      </c>
      <c r="DS109" s="116">
        <v>2.2999999999999998</v>
      </c>
      <c r="DT109" s="99" t="s">
        <v>581</v>
      </c>
      <c r="DU109" s="66"/>
      <c r="DV109" s="184">
        <v>3600</v>
      </c>
      <c r="DW109" s="105">
        <v>1800</v>
      </c>
      <c r="DX109" s="115">
        <v>40634</v>
      </c>
      <c r="DY109" s="21" t="s">
        <v>866</v>
      </c>
      <c r="DZ109" s="140" t="s">
        <v>867</v>
      </c>
      <c r="EA109" s="241" t="s">
        <v>868</v>
      </c>
    </row>
    <row r="110" spans="1:131" ht="24" x14ac:dyDescent="0.4">
      <c r="A110" s="4" t="s">
        <v>150</v>
      </c>
      <c r="B110" s="5" t="s">
        <v>231</v>
      </c>
      <c r="C110" s="8">
        <v>53.822283329999998</v>
      </c>
      <c r="D110" s="8">
        <v>-2.950583333</v>
      </c>
      <c r="E110" s="7" t="s">
        <v>170</v>
      </c>
      <c r="F110" s="5" t="s">
        <v>171</v>
      </c>
      <c r="G110" s="7" t="s">
        <v>230</v>
      </c>
      <c r="H110" s="4" t="s">
        <v>173</v>
      </c>
      <c r="I110" s="52"/>
      <c r="J110" s="53"/>
      <c r="K110" s="99">
        <v>2590</v>
      </c>
      <c r="L110" s="100">
        <v>2640</v>
      </c>
      <c r="M110" s="101">
        <v>2.4E-2</v>
      </c>
      <c r="N110" s="103">
        <v>4.4999999999999998E-2</v>
      </c>
      <c r="O110" s="102">
        <f>AVERAGE(M110,N110)</f>
        <v>3.4500000000000003E-2</v>
      </c>
      <c r="P110" s="57">
        <v>9.9999999999999995E-21</v>
      </c>
      <c r="Q110" s="57">
        <v>9.9999999999999998E-20</v>
      </c>
      <c r="R110" s="58">
        <f>AVERAGE(P110,Q110)</f>
        <v>5.4999999999999996E-20</v>
      </c>
      <c r="S110" s="101">
        <v>16.5</v>
      </c>
      <c r="T110" s="103">
        <v>52</v>
      </c>
      <c r="U110" s="102">
        <f>AVERAGE(S110,T110)</f>
        <v>34.25</v>
      </c>
      <c r="V110" s="103">
        <v>0.11</v>
      </c>
      <c r="W110" s="103">
        <v>0.31</v>
      </c>
      <c r="X110" s="102">
        <f>AVERAGE(V110,W110)</f>
        <v>0.21</v>
      </c>
      <c r="Y110" s="54">
        <f t="shared" si="12"/>
        <v>7.051282051282052</v>
      </c>
      <c r="Z110" s="56">
        <f t="shared" si="12"/>
        <v>45.614035087719294</v>
      </c>
      <c r="AA110" s="54">
        <f t="shared" si="13"/>
        <v>7.4324324324324316</v>
      </c>
      <c r="AB110" s="56">
        <f t="shared" si="13"/>
        <v>19.847328244274809</v>
      </c>
      <c r="AC110" s="101"/>
      <c r="AD110" s="102"/>
      <c r="AE110" s="101">
        <v>43</v>
      </c>
      <c r="AF110" s="102">
        <v>48.6</v>
      </c>
      <c r="AG110" s="103">
        <v>10</v>
      </c>
      <c r="AH110" s="102">
        <v>17.600000000000001</v>
      </c>
      <c r="AI110" s="101">
        <v>18</v>
      </c>
      <c r="AJ110" s="102">
        <v>108</v>
      </c>
      <c r="AK110" s="103">
        <v>3</v>
      </c>
      <c r="AL110" s="102">
        <v>17</v>
      </c>
      <c r="AM110" s="54"/>
      <c r="AN110" s="56"/>
      <c r="AO110" s="59"/>
      <c r="AP110" s="60"/>
      <c r="AQ110" s="104"/>
      <c r="AR110" s="105"/>
      <c r="AS110" s="100" t="s">
        <v>535</v>
      </c>
      <c r="AT110" s="106">
        <v>2.35E-2</v>
      </c>
      <c r="AU110" s="107">
        <v>0</v>
      </c>
      <c r="AV110" s="64">
        <f>PRODUCT(AT110,CU110)</f>
        <v>57.457500000000003</v>
      </c>
      <c r="AW110" s="53">
        <f>PRODUCT(AT110,CV110)</f>
        <v>59.173000000000002</v>
      </c>
      <c r="AX110" s="108">
        <v>2.828E-2</v>
      </c>
      <c r="AY110" s="107">
        <v>0</v>
      </c>
      <c r="AZ110" s="64">
        <f>PRODUCT(AX110,CU110)</f>
        <v>69.144599999999997</v>
      </c>
      <c r="BA110" s="53">
        <f>PRODUCT(AX110,CV110)</f>
        <v>71.209040000000002</v>
      </c>
      <c r="BB110" s="106">
        <v>1.6969999999999999E-2</v>
      </c>
      <c r="BC110" s="107">
        <v>0</v>
      </c>
      <c r="BD110" s="64">
        <f>PRODUCT(BB110,CU110)</f>
        <v>41.49165</v>
      </c>
      <c r="BE110" s="53">
        <f>PRODUCT(BB110,CV110)</f>
        <v>42.730460000000001</v>
      </c>
      <c r="BF110" s="36"/>
      <c r="BG110" s="100" t="s">
        <v>699</v>
      </c>
      <c r="BH110" s="106">
        <v>1.5599999999999999E-2</v>
      </c>
      <c r="BI110" s="64">
        <v>0</v>
      </c>
      <c r="BJ110" s="64">
        <f>BH110*CU110</f>
        <v>38.141999999999996</v>
      </c>
      <c r="BK110" s="53">
        <f>PRODUCT(BH110,CV110)</f>
        <v>39.280799999999999</v>
      </c>
      <c r="BL110" s="66"/>
      <c r="BM110" s="62"/>
      <c r="BN110" s="37"/>
      <c r="BO110" s="38"/>
      <c r="BP110" s="36"/>
      <c r="BQ110" s="38"/>
      <c r="BR110" s="37"/>
      <c r="BS110" s="38"/>
      <c r="BT110" s="35"/>
      <c r="BU110" s="100" t="s">
        <v>535</v>
      </c>
      <c r="BV110" s="66"/>
      <c r="BW110" s="62"/>
      <c r="BX110" s="66"/>
      <c r="BY110" s="62"/>
      <c r="BZ110" s="67"/>
      <c r="CA110" s="61"/>
      <c r="CB110" s="62"/>
      <c r="CC110" s="37"/>
      <c r="CD110" s="38"/>
      <c r="CE110" s="64"/>
      <c r="CF110" s="53"/>
      <c r="CG110" s="37"/>
      <c r="CH110" s="38"/>
      <c r="CI110" s="36"/>
      <c r="CJ110" s="38"/>
      <c r="CK110" s="37"/>
      <c r="CL110" s="38"/>
      <c r="CM110" s="36"/>
      <c r="CN110" s="38"/>
      <c r="CO110" s="37"/>
      <c r="CP110" s="38"/>
      <c r="CQ110" s="37"/>
      <c r="CR110" s="38"/>
      <c r="CS110" s="109">
        <v>6</v>
      </c>
      <c r="CT110" s="100">
        <v>23</v>
      </c>
      <c r="CU110" s="66">
        <v>2445</v>
      </c>
      <c r="CV110" s="61">
        <v>2518</v>
      </c>
      <c r="CW110" s="35" t="s">
        <v>266</v>
      </c>
      <c r="CX110" s="68">
        <v>40689</v>
      </c>
      <c r="CY110" s="37" t="s">
        <v>865</v>
      </c>
      <c r="CZ110" s="35"/>
      <c r="DA110" s="60">
        <v>0.21</v>
      </c>
      <c r="DB110" s="69"/>
      <c r="DC110" s="60">
        <v>7000</v>
      </c>
      <c r="DD110" s="69"/>
      <c r="DE110" s="60"/>
      <c r="DF110" s="70"/>
      <c r="DG110" s="70">
        <v>54</v>
      </c>
      <c r="DH110" s="71">
        <v>40689</v>
      </c>
      <c r="DI110" s="64"/>
      <c r="DJ110" s="35"/>
      <c r="DK110" s="61">
        <v>2585</v>
      </c>
      <c r="DL110" s="61">
        <v>2633</v>
      </c>
      <c r="DM110" s="72"/>
      <c r="DN110" s="64"/>
      <c r="DO110" s="72"/>
      <c r="DP110" s="64"/>
      <c r="DQ110" s="72"/>
      <c r="DR110" s="64"/>
      <c r="DS110" s="70">
        <v>1.5</v>
      </c>
      <c r="DT110" s="36" t="s">
        <v>581</v>
      </c>
      <c r="DU110" s="66"/>
      <c r="DV110" s="62"/>
      <c r="DW110" s="62"/>
      <c r="DX110" s="73">
        <v>40690</v>
      </c>
      <c r="DY110" s="4" t="s">
        <v>869</v>
      </c>
      <c r="DZ110" s="74" t="s">
        <v>870</v>
      </c>
      <c r="EA110" s="248" t="s">
        <v>871</v>
      </c>
    </row>
    <row r="111" spans="1:131" ht="24" x14ac:dyDescent="0.4">
      <c r="A111" s="4" t="s">
        <v>150</v>
      </c>
      <c r="B111" s="5" t="s">
        <v>232</v>
      </c>
      <c r="C111" s="8">
        <v>53.787840000000003</v>
      </c>
      <c r="D111" s="8">
        <v>-2.951047</v>
      </c>
      <c r="E111" s="7" t="s">
        <v>170</v>
      </c>
      <c r="F111" s="5" t="s">
        <v>171</v>
      </c>
      <c r="G111" s="7" t="s">
        <v>233</v>
      </c>
      <c r="H111" s="4" t="s">
        <v>173</v>
      </c>
      <c r="I111" s="52"/>
      <c r="J111" s="53"/>
      <c r="K111" s="99">
        <v>2590</v>
      </c>
      <c r="L111" s="100">
        <v>2640</v>
      </c>
      <c r="M111" s="101">
        <v>2.4E-2</v>
      </c>
      <c r="N111" s="103">
        <v>4.4999999999999998E-2</v>
      </c>
      <c r="O111" s="102">
        <f>AVERAGE(M111,N111)</f>
        <v>3.4500000000000003E-2</v>
      </c>
      <c r="P111" s="57">
        <v>9.9999999999999995E-21</v>
      </c>
      <c r="Q111" s="57">
        <v>9.9999999999999998E-20</v>
      </c>
      <c r="R111" s="58">
        <f>AVERAGE(P111,Q111)</f>
        <v>5.4999999999999996E-20</v>
      </c>
      <c r="S111" s="101">
        <v>16.5</v>
      </c>
      <c r="T111" s="103">
        <v>52</v>
      </c>
      <c r="U111" s="102">
        <f>AVERAGE(S111,T111)</f>
        <v>34.25</v>
      </c>
      <c r="V111" s="103">
        <v>0.11</v>
      </c>
      <c r="W111" s="103">
        <v>0.31</v>
      </c>
      <c r="X111" s="102">
        <f>AVERAGE(V111,W111)</f>
        <v>0.21</v>
      </c>
      <c r="Y111" s="54">
        <f t="shared" si="12"/>
        <v>7.051282051282052</v>
      </c>
      <c r="Z111" s="56">
        <f t="shared" si="12"/>
        <v>45.614035087719294</v>
      </c>
      <c r="AA111" s="54">
        <f t="shared" si="13"/>
        <v>7.4324324324324316</v>
      </c>
      <c r="AB111" s="56">
        <f t="shared" si="13"/>
        <v>19.847328244274809</v>
      </c>
      <c r="AC111" s="101"/>
      <c r="AD111" s="102"/>
      <c r="AE111" s="101">
        <v>43</v>
      </c>
      <c r="AF111" s="102">
        <v>48.6</v>
      </c>
      <c r="AG111" s="103">
        <v>10</v>
      </c>
      <c r="AH111" s="102">
        <v>17.600000000000001</v>
      </c>
      <c r="AI111" s="101">
        <v>18</v>
      </c>
      <c r="AJ111" s="102">
        <v>108</v>
      </c>
      <c r="AK111" s="103">
        <v>3</v>
      </c>
      <c r="AL111" s="102">
        <v>17</v>
      </c>
      <c r="AM111" s="54"/>
      <c r="AN111" s="56"/>
      <c r="AO111" s="59"/>
      <c r="AP111" s="60"/>
      <c r="AQ111" s="61"/>
      <c r="AR111" s="62"/>
      <c r="AS111" s="38" t="s">
        <v>535</v>
      </c>
      <c r="AT111" s="63">
        <v>2.5600000000000001E-2</v>
      </c>
      <c r="AU111" s="64">
        <v>0</v>
      </c>
      <c r="AV111" s="64">
        <f>PRODUCT(AT111,CU111)</f>
        <v>58.88</v>
      </c>
      <c r="AW111" s="53"/>
      <c r="AX111" s="65">
        <v>3.0200000000000001E-2</v>
      </c>
      <c r="AY111" s="64">
        <v>0</v>
      </c>
      <c r="AZ111" s="64">
        <f>PRODUCT(AX111,CU111)</f>
        <v>69.460000000000008</v>
      </c>
      <c r="BA111" s="53"/>
      <c r="BB111" s="63">
        <v>1.7999999999999999E-2</v>
      </c>
      <c r="BC111" s="64">
        <v>0</v>
      </c>
      <c r="BD111" s="64">
        <f>PRODUCT(BB111,CU111)</f>
        <v>41.4</v>
      </c>
      <c r="BE111" s="53"/>
      <c r="BF111" s="36" t="s">
        <v>795</v>
      </c>
      <c r="BG111" s="38" t="s">
        <v>872</v>
      </c>
      <c r="BH111" s="63">
        <v>1.44E-2</v>
      </c>
      <c r="BI111" s="64">
        <v>0</v>
      </c>
      <c r="BJ111" s="64">
        <f>BH111*CU111</f>
        <v>33.119999999999997</v>
      </c>
      <c r="BK111" s="53"/>
      <c r="BL111" s="66"/>
      <c r="BM111" s="62"/>
      <c r="BN111" s="37" t="s">
        <v>873</v>
      </c>
      <c r="BO111" s="38"/>
      <c r="BP111" s="36"/>
      <c r="BQ111" s="38">
        <v>70</v>
      </c>
      <c r="BR111" s="37"/>
      <c r="BS111" s="38"/>
      <c r="BT111" s="35"/>
      <c r="BU111" s="38"/>
      <c r="BV111" s="66"/>
      <c r="BW111" s="62"/>
      <c r="BX111" s="66"/>
      <c r="BY111" s="62"/>
      <c r="BZ111" s="67"/>
      <c r="CA111" s="61"/>
      <c r="CB111" s="62"/>
      <c r="CC111" s="37"/>
      <c r="CD111" s="38"/>
      <c r="CE111" s="64"/>
      <c r="CF111" s="53"/>
      <c r="CG111" s="37"/>
      <c r="CH111" s="38"/>
      <c r="CI111" s="36"/>
      <c r="CJ111" s="38"/>
      <c r="CK111" s="37"/>
      <c r="CL111" s="38"/>
      <c r="CM111" s="36"/>
      <c r="CN111" s="38"/>
      <c r="CO111" s="37"/>
      <c r="CP111" s="38"/>
      <c r="CQ111" s="37"/>
      <c r="CR111" s="38"/>
      <c r="CS111" s="109">
        <v>6</v>
      </c>
      <c r="CT111" s="100">
        <v>23</v>
      </c>
      <c r="CU111" s="66">
        <v>2300</v>
      </c>
      <c r="CV111" s="61"/>
      <c r="CW111" s="35" t="s">
        <v>266</v>
      </c>
      <c r="CX111" s="68">
        <v>43389</v>
      </c>
      <c r="CY111" s="37" t="s">
        <v>865</v>
      </c>
      <c r="CZ111" s="35"/>
      <c r="DA111" s="60">
        <v>7.0000000000000007E-2</v>
      </c>
      <c r="DB111" s="69"/>
      <c r="DC111" s="60">
        <v>2850</v>
      </c>
      <c r="DD111" s="69"/>
      <c r="DE111" s="60"/>
      <c r="DF111" s="70">
        <v>35</v>
      </c>
      <c r="DG111" s="70">
        <v>58</v>
      </c>
      <c r="DH111" s="71"/>
      <c r="DI111" s="64"/>
      <c r="DJ111" s="35" t="s">
        <v>874</v>
      </c>
      <c r="DK111" s="61">
        <v>2200</v>
      </c>
      <c r="DL111" s="61">
        <v>2400</v>
      </c>
      <c r="DM111" s="72"/>
      <c r="DN111" s="64"/>
      <c r="DO111" s="72">
        <v>1.9</v>
      </c>
      <c r="DP111" s="64">
        <v>1.3</v>
      </c>
      <c r="DQ111" s="72"/>
      <c r="DR111" s="64"/>
      <c r="DS111" s="70">
        <v>1.6</v>
      </c>
      <c r="DT111" s="36" t="s">
        <v>581</v>
      </c>
      <c r="DU111" s="66"/>
      <c r="DV111" s="62"/>
      <c r="DW111" s="62">
        <v>0</v>
      </c>
      <c r="DX111" s="73">
        <v>43445</v>
      </c>
      <c r="DY111" s="4" t="s">
        <v>875</v>
      </c>
      <c r="DZ111" s="76" t="s">
        <v>876</v>
      </c>
      <c r="EA111" s="248" t="s">
        <v>871</v>
      </c>
    </row>
    <row r="112" spans="1:131" ht="24" x14ac:dyDescent="0.4">
      <c r="A112" s="4" t="s">
        <v>150</v>
      </c>
      <c r="B112" s="5" t="s">
        <v>234</v>
      </c>
      <c r="C112" s="8">
        <v>53.787840000000003</v>
      </c>
      <c r="D112" s="8">
        <v>-2.951047</v>
      </c>
      <c r="E112" s="7" t="s">
        <v>170</v>
      </c>
      <c r="F112" s="5" t="s">
        <v>171</v>
      </c>
      <c r="G112" s="7" t="s">
        <v>235</v>
      </c>
      <c r="H112" s="4" t="s">
        <v>173</v>
      </c>
      <c r="I112" s="52"/>
      <c r="J112" s="53"/>
      <c r="K112" s="99">
        <v>2590</v>
      </c>
      <c r="L112" s="100">
        <v>2640</v>
      </c>
      <c r="M112" s="101">
        <v>2.4E-2</v>
      </c>
      <c r="N112" s="103">
        <v>4.4999999999999998E-2</v>
      </c>
      <c r="O112" s="102">
        <f>AVERAGE(M112,N112)</f>
        <v>3.4500000000000003E-2</v>
      </c>
      <c r="P112" s="57">
        <v>9.9999999999999995E-21</v>
      </c>
      <c r="Q112" s="57">
        <v>9.9999999999999998E-20</v>
      </c>
      <c r="R112" s="58">
        <f>AVERAGE(P112,Q112)</f>
        <v>5.4999999999999996E-20</v>
      </c>
      <c r="S112" s="101">
        <v>16.5</v>
      </c>
      <c r="T112" s="103">
        <v>52</v>
      </c>
      <c r="U112" s="102">
        <f>AVERAGE(S112,T112)</f>
        <v>34.25</v>
      </c>
      <c r="V112" s="103">
        <v>0.11</v>
      </c>
      <c r="W112" s="103">
        <v>0.31</v>
      </c>
      <c r="X112" s="102">
        <f>AVERAGE(V112,W112)</f>
        <v>0.21</v>
      </c>
      <c r="Y112" s="54">
        <f t="shared" si="12"/>
        <v>7.051282051282052</v>
      </c>
      <c r="Z112" s="56">
        <f t="shared" si="12"/>
        <v>45.614035087719294</v>
      </c>
      <c r="AA112" s="54">
        <f t="shared" si="13"/>
        <v>7.4324324324324316</v>
      </c>
      <c r="AB112" s="56">
        <f t="shared" si="13"/>
        <v>19.847328244274809</v>
      </c>
      <c r="AC112" s="101"/>
      <c r="AD112" s="102"/>
      <c r="AE112" s="101">
        <v>43</v>
      </c>
      <c r="AF112" s="102">
        <v>48.6</v>
      </c>
      <c r="AG112" s="103">
        <v>10</v>
      </c>
      <c r="AH112" s="102">
        <v>17.600000000000001</v>
      </c>
      <c r="AI112" s="101">
        <v>18</v>
      </c>
      <c r="AJ112" s="102">
        <v>108</v>
      </c>
      <c r="AK112" s="103">
        <v>3</v>
      </c>
      <c r="AL112" s="102">
        <v>17</v>
      </c>
      <c r="AM112" s="54"/>
      <c r="AN112" s="56"/>
      <c r="AO112" s="59"/>
      <c r="AP112" s="60"/>
      <c r="AQ112" s="61"/>
      <c r="AR112" s="62"/>
      <c r="AS112" s="38" t="s">
        <v>535</v>
      </c>
      <c r="AT112" s="63">
        <v>2.5600000000000001E-2</v>
      </c>
      <c r="AU112" s="64">
        <v>0</v>
      </c>
      <c r="AV112" s="64">
        <f>PRODUCT(AT112,CU112)</f>
        <v>53.760000000000005</v>
      </c>
      <c r="AW112" s="53"/>
      <c r="AX112" s="65">
        <v>3.0200000000000001E-2</v>
      </c>
      <c r="AY112" s="64">
        <v>0</v>
      </c>
      <c r="AZ112" s="64">
        <f>PRODUCT(AX112,CU112)</f>
        <v>63.42</v>
      </c>
      <c r="BA112" s="53"/>
      <c r="BB112" s="63">
        <v>1.7999999999999999E-2</v>
      </c>
      <c r="BC112" s="64">
        <v>0</v>
      </c>
      <c r="BD112" s="64">
        <f>PRODUCT(BB112,CU112)</f>
        <v>37.799999999999997</v>
      </c>
      <c r="BE112" s="53"/>
      <c r="BF112" s="36" t="s">
        <v>630</v>
      </c>
      <c r="BG112" s="38" t="s">
        <v>569</v>
      </c>
      <c r="BH112" s="63">
        <v>1.44E-2</v>
      </c>
      <c r="BI112" s="64">
        <v>0</v>
      </c>
      <c r="BJ112" s="64">
        <f>BH112*CU112</f>
        <v>30.24</v>
      </c>
      <c r="BK112" s="53"/>
      <c r="BL112" s="66"/>
      <c r="BM112" s="62"/>
      <c r="BN112" s="37" t="s">
        <v>536</v>
      </c>
      <c r="BO112" s="38"/>
      <c r="BP112" s="36"/>
      <c r="BQ112" s="38">
        <v>90</v>
      </c>
      <c r="BR112" s="37"/>
      <c r="BS112" s="38"/>
      <c r="BT112" s="35"/>
      <c r="BU112" s="38"/>
      <c r="BV112" s="66"/>
      <c r="BW112" s="62"/>
      <c r="BX112" s="66"/>
      <c r="BY112" s="62"/>
      <c r="BZ112" s="67"/>
      <c r="CA112" s="61"/>
      <c r="CB112" s="62"/>
      <c r="CC112" s="37"/>
      <c r="CD112" s="38"/>
      <c r="CE112" s="64"/>
      <c r="CF112" s="53"/>
      <c r="CG112" s="37"/>
      <c r="CH112" s="38"/>
      <c r="CI112" s="36"/>
      <c r="CJ112" s="38"/>
      <c r="CK112" s="37"/>
      <c r="CL112" s="38"/>
      <c r="CM112" s="36"/>
      <c r="CN112" s="38"/>
      <c r="CO112" s="37"/>
      <c r="CP112" s="38"/>
      <c r="CQ112" s="37"/>
      <c r="CR112" s="38"/>
      <c r="CS112" s="109">
        <v>6</v>
      </c>
      <c r="CT112" s="100">
        <v>23</v>
      </c>
      <c r="CU112" s="66">
        <v>2100</v>
      </c>
      <c r="CV112" s="61"/>
      <c r="CW112" s="35" t="s">
        <v>266</v>
      </c>
      <c r="CX112" s="68">
        <v>43692</v>
      </c>
      <c r="CY112" s="37"/>
      <c r="CZ112" s="35"/>
      <c r="DA112" s="60"/>
      <c r="DB112" s="69"/>
      <c r="DC112" s="60">
        <v>2835</v>
      </c>
      <c r="DD112" s="69"/>
      <c r="DE112" s="60"/>
      <c r="DF112" s="70"/>
      <c r="DG112" s="70"/>
      <c r="DH112" s="71"/>
      <c r="DI112" s="64"/>
      <c r="DJ112" s="35"/>
      <c r="DK112" s="61">
        <v>1950</v>
      </c>
      <c r="DL112" s="61">
        <v>2300</v>
      </c>
      <c r="DM112" s="72"/>
      <c r="DN112" s="64"/>
      <c r="DO112" s="72"/>
      <c r="DP112" s="64">
        <v>1.1000000000000001</v>
      </c>
      <c r="DQ112" s="72"/>
      <c r="DR112" s="64"/>
      <c r="DS112" s="70">
        <v>2.9</v>
      </c>
      <c r="DT112" s="36" t="s">
        <v>581</v>
      </c>
      <c r="DU112" s="66"/>
      <c r="DV112" s="62">
        <v>2050</v>
      </c>
      <c r="DW112" s="62">
        <v>200</v>
      </c>
      <c r="DX112" s="73">
        <v>43703</v>
      </c>
      <c r="DY112" s="4" t="s">
        <v>877</v>
      </c>
      <c r="DZ112" s="74" t="s">
        <v>878</v>
      </c>
      <c r="EA112" s="248" t="s">
        <v>871</v>
      </c>
    </row>
    <row r="113" spans="1:131" x14ac:dyDescent="0.4">
      <c r="A113" s="4" t="s">
        <v>40</v>
      </c>
      <c r="B113" s="5" t="s">
        <v>236</v>
      </c>
      <c r="C113" s="8">
        <v>32.360999999999997</v>
      </c>
      <c r="D113" s="8">
        <v>-93.268000000000001</v>
      </c>
      <c r="E113" s="7" t="s">
        <v>170</v>
      </c>
      <c r="F113" s="5" t="s">
        <v>237</v>
      </c>
      <c r="G113" s="7" t="s">
        <v>238</v>
      </c>
      <c r="H113" s="4" t="s">
        <v>173</v>
      </c>
      <c r="I113" s="52"/>
      <c r="J113" s="53"/>
      <c r="K113" s="36">
        <v>2490</v>
      </c>
      <c r="L113" s="38">
        <v>2620</v>
      </c>
      <c r="M113" s="54">
        <v>0.03</v>
      </c>
      <c r="N113" s="55">
        <v>0.06</v>
      </c>
      <c r="O113" s="56">
        <f>AVERAGE(M113,N113)</f>
        <v>4.4999999999999998E-2</v>
      </c>
      <c r="P113" s="36"/>
      <c r="Q113" s="36"/>
      <c r="R113" s="38"/>
      <c r="S113" s="54">
        <v>20</v>
      </c>
      <c r="T113" s="55">
        <v>60</v>
      </c>
      <c r="U113" s="56">
        <v>40</v>
      </c>
      <c r="V113" s="55">
        <v>0.15</v>
      </c>
      <c r="W113" s="55">
        <v>0.35</v>
      </c>
      <c r="X113" s="56">
        <v>0.25</v>
      </c>
      <c r="Y113" s="54">
        <f t="shared" si="12"/>
        <v>9.5238095238095255</v>
      </c>
      <c r="Z113" s="56">
        <f t="shared" si="12"/>
        <v>66.666666666666657</v>
      </c>
      <c r="AA113" s="54">
        <f t="shared" si="13"/>
        <v>8.6956521739130448</v>
      </c>
      <c r="AB113" s="56">
        <f t="shared" si="13"/>
        <v>22.222222222222221</v>
      </c>
      <c r="AC113" s="54"/>
      <c r="AD113" s="56"/>
      <c r="AE113" s="54"/>
      <c r="AF113" s="56"/>
      <c r="AG113" s="55"/>
      <c r="AH113" s="56"/>
      <c r="AI113" s="54"/>
      <c r="AJ113" s="56"/>
      <c r="AK113" s="55"/>
      <c r="AL113" s="56"/>
      <c r="AM113" s="54"/>
      <c r="AN113" s="56"/>
      <c r="AO113" s="59"/>
      <c r="AP113" s="60"/>
      <c r="AQ113" s="61"/>
      <c r="AR113" s="62"/>
      <c r="AS113" s="38"/>
      <c r="AT113" s="63"/>
      <c r="AU113" s="64"/>
      <c r="AV113" s="64"/>
      <c r="AW113" s="53">
        <v>85</v>
      </c>
      <c r="AX113" s="65"/>
      <c r="AY113" s="64"/>
      <c r="AZ113" s="64"/>
      <c r="BA113" s="53"/>
      <c r="BB113" s="63"/>
      <c r="BC113" s="64"/>
      <c r="BD113" s="64"/>
      <c r="BE113" s="53"/>
      <c r="BF113" s="36"/>
      <c r="BG113" s="38"/>
      <c r="BH113" s="63"/>
      <c r="BI113" s="64"/>
      <c r="BJ113" s="64">
        <v>60</v>
      </c>
      <c r="BK113" s="53">
        <v>70</v>
      </c>
      <c r="BL113" s="66"/>
      <c r="BM113" s="62"/>
      <c r="BN113" s="37"/>
      <c r="BO113" s="38"/>
      <c r="BP113" s="36"/>
      <c r="BQ113" s="38"/>
      <c r="BR113" s="37"/>
      <c r="BS113" s="38"/>
      <c r="BT113" s="35"/>
      <c r="BU113" s="38"/>
      <c r="BV113" s="66"/>
      <c r="BW113" s="62"/>
      <c r="BX113" s="66"/>
      <c r="BY113" s="62"/>
      <c r="BZ113" s="67"/>
      <c r="CA113" s="61"/>
      <c r="CB113" s="62"/>
      <c r="CC113" s="37"/>
      <c r="CD113" s="38"/>
      <c r="CE113" s="64"/>
      <c r="CF113" s="53"/>
      <c r="CG113" s="37"/>
      <c r="CH113" s="38"/>
      <c r="CI113" s="36"/>
      <c r="CJ113" s="38"/>
      <c r="CK113" s="37"/>
      <c r="CL113" s="38"/>
      <c r="CM113" s="36"/>
      <c r="CN113" s="38"/>
      <c r="CO113" s="37"/>
      <c r="CP113" s="38"/>
      <c r="CQ113" s="37"/>
      <c r="CR113" s="38"/>
      <c r="CS113" s="37"/>
      <c r="CT113" s="38"/>
      <c r="CU113" s="66">
        <v>3500</v>
      </c>
      <c r="CV113" s="61">
        <v>3660</v>
      </c>
      <c r="CW113" s="35"/>
      <c r="CX113" s="68">
        <v>40664</v>
      </c>
      <c r="CY113" s="37"/>
      <c r="CZ113" s="35"/>
      <c r="DA113" s="60">
        <v>2.5000000000000001E-3</v>
      </c>
      <c r="DB113" s="69"/>
      <c r="DC113" s="60"/>
      <c r="DD113" s="69"/>
      <c r="DE113" s="60"/>
      <c r="DF113" s="70"/>
      <c r="DG113" s="70"/>
      <c r="DH113" s="71"/>
      <c r="DI113" s="64"/>
      <c r="DJ113" s="35">
        <v>18</v>
      </c>
      <c r="DK113" s="61"/>
      <c r="DL113" s="61"/>
      <c r="DM113" s="72"/>
      <c r="DN113" s="64"/>
      <c r="DO113" s="72"/>
      <c r="DP113" s="64"/>
      <c r="DQ113" s="72"/>
      <c r="DR113" s="64"/>
      <c r="DS113" s="70">
        <v>1.9</v>
      </c>
      <c r="DT113" s="36" t="s">
        <v>581</v>
      </c>
      <c r="DU113" s="66"/>
      <c r="DV113" s="62">
        <v>1300</v>
      </c>
      <c r="DW113" s="62">
        <v>10000</v>
      </c>
      <c r="DX113" s="73">
        <v>40831</v>
      </c>
      <c r="DY113" s="4" t="s">
        <v>879</v>
      </c>
      <c r="DZ113" s="74" t="s">
        <v>880</v>
      </c>
      <c r="EA113" s="241" t="s">
        <v>881</v>
      </c>
    </row>
    <row r="114" spans="1:131" x14ac:dyDescent="0.4">
      <c r="A114" s="4" t="s">
        <v>40</v>
      </c>
      <c r="B114" s="5" t="s">
        <v>239</v>
      </c>
      <c r="C114" s="6">
        <v>32.157010999999997</v>
      </c>
      <c r="D114" s="6">
        <v>-94.338095999999993</v>
      </c>
      <c r="E114" s="7" t="s">
        <v>170</v>
      </c>
      <c r="F114" s="5" t="s">
        <v>171</v>
      </c>
      <c r="G114" s="7" t="s">
        <v>240</v>
      </c>
      <c r="H114" s="4" t="s">
        <v>23</v>
      </c>
      <c r="I114" s="52"/>
      <c r="J114" s="53"/>
      <c r="K114" s="36"/>
      <c r="L114" s="38"/>
      <c r="M114" s="54"/>
      <c r="N114" s="55"/>
      <c r="O114" s="56"/>
      <c r="P114" s="36"/>
      <c r="Q114" s="36"/>
      <c r="R114" s="38"/>
      <c r="S114" s="54"/>
      <c r="T114" s="55"/>
      <c r="U114" s="56"/>
      <c r="V114" s="55"/>
      <c r="W114" s="55"/>
      <c r="X114" s="56"/>
      <c r="Y114" s="54"/>
      <c r="Z114" s="56"/>
      <c r="AA114" s="54"/>
      <c r="AB114" s="56"/>
      <c r="AC114" s="54"/>
      <c r="AD114" s="56"/>
      <c r="AE114" s="54"/>
      <c r="AF114" s="56"/>
      <c r="AG114" s="55"/>
      <c r="AH114" s="56"/>
      <c r="AI114" s="54"/>
      <c r="AJ114" s="56"/>
      <c r="AK114" s="55"/>
      <c r="AL114" s="56"/>
      <c r="AM114" s="54"/>
      <c r="AN114" s="56"/>
      <c r="AO114" s="59"/>
      <c r="AP114" s="60"/>
      <c r="AQ114" s="61"/>
      <c r="AR114" s="62"/>
      <c r="AS114" s="38"/>
      <c r="AT114" s="63"/>
      <c r="AU114" s="64"/>
      <c r="AV114" s="64"/>
      <c r="AW114" s="53"/>
      <c r="AX114" s="65"/>
      <c r="AY114" s="64"/>
      <c r="AZ114" s="64"/>
      <c r="BA114" s="53"/>
      <c r="BB114" s="63"/>
      <c r="BC114" s="64"/>
      <c r="BD114" s="64"/>
      <c r="BE114" s="53"/>
      <c r="BF114" s="36" t="s">
        <v>882</v>
      </c>
      <c r="BG114" s="38" t="s">
        <v>882</v>
      </c>
      <c r="BH114" s="63"/>
      <c r="BI114" s="64"/>
      <c r="BJ114" s="64"/>
      <c r="BK114" s="53"/>
      <c r="BL114" s="66"/>
      <c r="BM114" s="62"/>
      <c r="BN114" s="37" t="s">
        <v>882</v>
      </c>
      <c r="BO114" s="38" t="s">
        <v>883</v>
      </c>
      <c r="BP114" s="36"/>
      <c r="BQ114" s="38"/>
      <c r="BR114" s="37"/>
      <c r="BS114" s="38"/>
      <c r="BT114" s="35"/>
      <c r="BU114" s="38"/>
      <c r="BV114" s="66"/>
      <c r="BW114" s="62"/>
      <c r="BX114" s="66"/>
      <c r="BY114" s="62"/>
      <c r="BZ114" s="67"/>
      <c r="CA114" s="61"/>
      <c r="CB114" s="62"/>
      <c r="CC114" s="37"/>
      <c r="CD114" s="38"/>
      <c r="CE114" s="64"/>
      <c r="CF114" s="53"/>
      <c r="CG114" s="37"/>
      <c r="CH114" s="38"/>
      <c r="CI114" s="36"/>
      <c r="CJ114" s="38"/>
      <c r="CK114" s="37"/>
      <c r="CL114" s="38"/>
      <c r="CM114" s="36"/>
      <c r="CN114" s="38"/>
      <c r="CO114" s="37"/>
      <c r="CP114" s="38"/>
      <c r="CQ114" s="37"/>
      <c r="CR114" s="38"/>
      <c r="CS114" s="37"/>
      <c r="CT114" s="38"/>
      <c r="CU114" s="66">
        <v>2756</v>
      </c>
      <c r="CV114" s="61">
        <v>2838</v>
      </c>
      <c r="CW114" s="35" t="s">
        <v>266</v>
      </c>
      <c r="CX114" s="68">
        <v>35564</v>
      </c>
      <c r="CY114" s="37"/>
      <c r="CZ114" s="35"/>
      <c r="DA114" s="60">
        <v>0.106</v>
      </c>
      <c r="DB114" s="69">
        <v>1102</v>
      </c>
      <c r="DC114" s="60"/>
      <c r="DD114" s="69"/>
      <c r="DE114" s="60"/>
      <c r="DF114" s="70"/>
      <c r="DG114" s="70"/>
      <c r="DH114" s="71">
        <v>35564</v>
      </c>
      <c r="DI114" s="64"/>
      <c r="DJ114" s="35" t="s">
        <v>884</v>
      </c>
      <c r="DK114" s="61">
        <v>2700</v>
      </c>
      <c r="DL114" s="61">
        <v>2850</v>
      </c>
      <c r="DM114" s="72"/>
      <c r="DN114" s="64"/>
      <c r="DO114" s="72"/>
      <c r="DP114" s="64">
        <v>2.5</v>
      </c>
      <c r="DQ114" s="72"/>
      <c r="DR114" s="64"/>
      <c r="DS114" s="70">
        <v>-0.2</v>
      </c>
      <c r="DT114" s="36" t="s">
        <v>541</v>
      </c>
      <c r="DU114" s="66"/>
      <c r="DV114" s="62"/>
      <c r="DW114" s="62">
        <v>0</v>
      </c>
      <c r="DX114" s="73">
        <v>35564</v>
      </c>
      <c r="DY114" s="4" t="s">
        <v>885</v>
      </c>
      <c r="DZ114" s="74" t="s">
        <v>886</v>
      </c>
      <c r="EA114" s="241" t="s">
        <v>887</v>
      </c>
    </row>
    <row r="115" spans="1:131" x14ac:dyDescent="0.4">
      <c r="A115" s="4" t="s">
        <v>40</v>
      </c>
      <c r="B115" s="5" t="s">
        <v>241</v>
      </c>
      <c r="C115" s="8">
        <v>34.095728000000001</v>
      </c>
      <c r="D115" s="8">
        <v>-97.434442000000004</v>
      </c>
      <c r="E115" s="7" t="s">
        <v>170</v>
      </c>
      <c r="F115" s="5" t="s">
        <v>171</v>
      </c>
      <c r="G115" s="7"/>
      <c r="H115" s="4"/>
      <c r="I115" s="52"/>
      <c r="J115" s="53"/>
      <c r="K115" s="36"/>
      <c r="L115" s="38"/>
      <c r="M115" s="54"/>
      <c r="N115" s="55"/>
      <c r="O115" s="56"/>
      <c r="P115" s="36"/>
      <c r="Q115" s="36"/>
      <c r="R115" s="38"/>
      <c r="S115" s="54"/>
      <c r="T115" s="55"/>
      <c r="U115" s="56"/>
      <c r="V115" s="55"/>
      <c r="W115" s="55"/>
      <c r="X115" s="56"/>
      <c r="Y115" s="54"/>
      <c r="Z115" s="56"/>
      <c r="AA115" s="54"/>
      <c r="AB115" s="56"/>
      <c r="AC115" s="54"/>
      <c r="AD115" s="56"/>
      <c r="AE115" s="54"/>
      <c r="AF115" s="56"/>
      <c r="AG115" s="55"/>
      <c r="AH115" s="56"/>
      <c r="AI115" s="54"/>
      <c r="AJ115" s="56"/>
      <c r="AK115" s="55"/>
      <c r="AL115" s="56"/>
      <c r="AM115" s="54"/>
      <c r="AN115" s="56"/>
      <c r="AO115" s="59"/>
      <c r="AP115" s="60"/>
      <c r="AQ115" s="61"/>
      <c r="AR115" s="62"/>
      <c r="AS115" s="38"/>
      <c r="AT115" s="63"/>
      <c r="AU115" s="64"/>
      <c r="AV115" s="64"/>
      <c r="AW115" s="53"/>
      <c r="AX115" s="65"/>
      <c r="AY115" s="64"/>
      <c r="AZ115" s="64"/>
      <c r="BA115" s="53"/>
      <c r="BB115" s="63"/>
      <c r="BC115" s="64"/>
      <c r="BD115" s="64"/>
      <c r="BE115" s="53"/>
      <c r="BF115" s="36"/>
      <c r="BG115" s="38"/>
      <c r="BH115" s="63"/>
      <c r="BI115" s="64"/>
      <c r="BJ115" s="64"/>
      <c r="BK115" s="53"/>
      <c r="BL115" s="66"/>
      <c r="BM115" s="62"/>
      <c r="BN115" s="37"/>
      <c r="BO115" s="38"/>
      <c r="BP115" s="36"/>
      <c r="BQ115" s="38"/>
      <c r="BR115" s="37"/>
      <c r="BS115" s="38"/>
      <c r="BT115" s="35"/>
      <c r="BU115" s="38"/>
      <c r="BV115" s="66"/>
      <c r="BW115" s="62"/>
      <c r="BX115" s="66"/>
      <c r="BY115" s="62"/>
      <c r="BZ115" s="67"/>
      <c r="CA115" s="61"/>
      <c r="CB115" s="62"/>
      <c r="CC115" s="37"/>
      <c r="CD115" s="38"/>
      <c r="CE115" s="64"/>
      <c r="CF115" s="53"/>
      <c r="CG115" s="37"/>
      <c r="CH115" s="38"/>
      <c r="CI115" s="36"/>
      <c r="CJ115" s="38"/>
      <c r="CK115" s="37"/>
      <c r="CL115" s="38"/>
      <c r="CM115" s="36"/>
      <c r="CN115" s="38"/>
      <c r="CO115" s="37"/>
      <c r="CP115" s="38"/>
      <c r="CQ115" s="37"/>
      <c r="CR115" s="38"/>
      <c r="CS115" s="37"/>
      <c r="CT115" s="38"/>
      <c r="CU115" s="66">
        <v>3220</v>
      </c>
      <c r="CV115" s="61">
        <v>3530</v>
      </c>
      <c r="CW115" s="35"/>
      <c r="CX115" s="68">
        <v>41827</v>
      </c>
      <c r="CY115" s="37"/>
      <c r="CZ115" s="35"/>
      <c r="DA115" s="60">
        <v>0.26496999999999998</v>
      </c>
      <c r="DB115" s="69"/>
      <c r="DC115" s="60"/>
      <c r="DD115" s="69"/>
      <c r="DE115" s="60"/>
      <c r="DF115" s="70">
        <v>55.2</v>
      </c>
      <c r="DG115" s="70"/>
      <c r="DH115" s="71">
        <v>41827</v>
      </c>
      <c r="DI115" s="64">
        <v>0.1</v>
      </c>
      <c r="DJ115" s="35">
        <v>26</v>
      </c>
      <c r="DK115" s="61"/>
      <c r="DL115" s="61"/>
      <c r="DM115" s="72"/>
      <c r="DN115" s="64"/>
      <c r="DO115" s="72"/>
      <c r="DP115" s="64"/>
      <c r="DQ115" s="72"/>
      <c r="DR115" s="64"/>
      <c r="DS115" s="70">
        <v>3.2</v>
      </c>
      <c r="DT115" s="36" t="s">
        <v>581</v>
      </c>
      <c r="DU115" s="66"/>
      <c r="DV115" s="62">
        <v>7300</v>
      </c>
      <c r="DW115" s="62">
        <v>4500</v>
      </c>
      <c r="DX115" s="73">
        <v>41827</v>
      </c>
      <c r="DY115" s="4" t="s">
        <v>860</v>
      </c>
      <c r="DZ115" s="74" t="s">
        <v>804</v>
      </c>
      <c r="EA115" s="241" t="s">
        <v>888</v>
      </c>
    </row>
    <row r="116" spans="1:131" x14ac:dyDescent="0.4">
      <c r="A116" s="4" t="s">
        <v>40</v>
      </c>
      <c r="B116" s="5" t="s">
        <v>242</v>
      </c>
      <c r="C116" s="8">
        <v>31.8</v>
      </c>
      <c r="D116" s="8">
        <v>-94.5</v>
      </c>
      <c r="E116" s="7" t="s">
        <v>170</v>
      </c>
      <c r="F116" s="5" t="s">
        <v>171</v>
      </c>
      <c r="G116" s="7" t="s">
        <v>243</v>
      </c>
      <c r="H116" s="4" t="s">
        <v>23</v>
      </c>
      <c r="I116" s="52"/>
      <c r="J116" s="53"/>
      <c r="K116" s="36"/>
      <c r="L116" s="38"/>
      <c r="M116" s="54">
        <v>0.05</v>
      </c>
      <c r="N116" s="55">
        <v>0.09</v>
      </c>
      <c r="O116" s="56"/>
      <c r="P116" s="36"/>
      <c r="Q116" s="36"/>
      <c r="R116" s="60"/>
      <c r="S116" s="54"/>
      <c r="T116" s="55"/>
      <c r="U116" s="56"/>
      <c r="V116" s="55"/>
      <c r="W116" s="55"/>
      <c r="X116" s="56"/>
      <c r="Y116" s="54"/>
      <c r="Z116" s="56"/>
      <c r="AA116" s="54"/>
      <c r="AB116" s="56"/>
      <c r="AC116" s="54"/>
      <c r="AD116" s="56"/>
      <c r="AE116" s="54"/>
      <c r="AF116" s="56"/>
      <c r="AG116" s="55"/>
      <c r="AH116" s="56"/>
      <c r="AI116" s="54"/>
      <c r="AJ116" s="56"/>
      <c r="AK116" s="55"/>
      <c r="AL116" s="56"/>
      <c r="AM116" s="54"/>
      <c r="AN116" s="56"/>
      <c r="AO116" s="59"/>
      <c r="AP116" s="60"/>
      <c r="AQ116" s="61"/>
      <c r="AR116" s="62"/>
      <c r="AS116" s="38"/>
      <c r="AT116" s="63"/>
      <c r="AU116" s="64"/>
      <c r="AV116" s="64"/>
      <c r="AW116" s="53"/>
      <c r="AX116" s="65"/>
      <c r="AY116" s="64"/>
      <c r="AZ116" s="64"/>
      <c r="BA116" s="53"/>
      <c r="BB116" s="63"/>
      <c r="BC116" s="64"/>
      <c r="BD116" s="64"/>
      <c r="BE116" s="53"/>
      <c r="BF116" s="36"/>
      <c r="BG116" s="38"/>
      <c r="BH116" s="63"/>
      <c r="BI116" s="64"/>
      <c r="BJ116" s="64"/>
      <c r="BK116" s="53"/>
      <c r="BL116" s="66"/>
      <c r="BM116" s="62"/>
      <c r="BN116" s="37"/>
      <c r="BO116" s="38"/>
      <c r="BP116" s="36"/>
      <c r="BQ116" s="38"/>
      <c r="BR116" s="37"/>
      <c r="BS116" s="38"/>
      <c r="BT116" s="35"/>
      <c r="BU116" s="38"/>
      <c r="BV116" s="66"/>
      <c r="BW116" s="62"/>
      <c r="BX116" s="66"/>
      <c r="BY116" s="62"/>
      <c r="BZ116" s="67"/>
      <c r="CA116" s="61"/>
      <c r="CB116" s="62"/>
      <c r="CC116" s="37"/>
      <c r="CD116" s="38"/>
      <c r="CE116" s="64"/>
      <c r="CF116" s="53"/>
      <c r="CG116" s="37"/>
      <c r="CH116" s="38"/>
      <c r="CI116" s="36"/>
      <c r="CJ116" s="38"/>
      <c r="CK116" s="37"/>
      <c r="CL116" s="38"/>
      <c r="CM116" s="36"/>
      <c r="CN116" s="38"/>
      <c r="CO116" s="37"/>
      <c r="CP116" s="38"/>
      <c r="CQ116" s="37"/>
      <c r="CR116" s="38"/>
      <c r="CS116" s="37"/>
      <c r="CT116" s="38"/>
      <c r="CU116" s="66"/>
      <c r="CV116" s="61"/>
      <c r="CW116" s="35"/>
      <c r="CX116" s="68"/>
      <c r="CY116" s="37"/>
      <c r="CZ116" s="35"/>
      <c r="DA116" s="60"/>
      <c r="DB116" s="69"/>
      <c r="DC116" s="60"/>
      <c r="DD116" s="69"/>
      <c r="DE116" s="60"/>
      <c r="DF116" s="70"/>
      <c r="DG116" s="70"/>
      <c r="DH116" s="71">
        <v>41275</v>
      </c>
      <c r="DI116" s="64"/>
      <c r="DJ116" s="35">
        <v>8</v>
      </c>
      <c r="DK116" s="61"/>
      <c r="DL116" s="61"/>
      <c r="DM116" s="72"/>
      <c r="DN116" s="64"/>
      <c r="DO116" s="72"/>
      <c r="DP116" s="64"/>
      <c r="DQ116" s="72"/>
      <c r="DR116" s="64"/>
      <c r="DS116" s="70">
        <v>4.2</v>
      </c>
      <c r="DT116" s="36" t="s">
        <v>889</v>
      </c>
      <c r="DU116" s="66"/>
      <c r="DV116" s="62"/>
      <c r="DW116" s="62"/>
      <c r="DX116" s="73">
        <v>41640</v>
      </c>
      <c r="DY116" s="4" t="s">
        <v>890</v>
      </c>
      <c r="DZ116" s="74" t="s">
        <v>891</v>
      </c>
      <c r="EA116" s="241" t="s">
        <v>892</v>
      </c>
    </row>
    <row r="117" spans="1:131" x14ac:dyDescent="0.4">
      <c r="A117" s="4" t="s">
        <v>40</v>
      </c>
      <c r="B117" s="5" t="s">
        <v>244</v>
      </c>
      <c r="C117" s="8">
        <v>40.991087999999998</v>
      </c>
      <c r="D117" s="8">
        <v>-80.432348000000005</v>
      </c>
      <c r="E117" s="7" t="s">
        <v>170</v>
      </c>
      <c r="F117" s="5" t="s">
        <v>171</v>
      </c>
      <c r="G117" s="7" t="s">
        <v>245</v>
      </c>
      <c r="H117" s="4" t="s">
        <v>173</v>
      </c>
      <c r="I117" s="52"/>
      <c r="J117" s="53"/>
      <c r="K117" s="36"/>
      <c r="L117" s="38"/>
      <c r="M117" s="54">
        <v>7.0000000000000001E-3</v>
      </c>
      <c r="N117" s="55">
        <v>6.0999999999999999E-2</v>
      </c>
      <c r="O117" s="56">
        <v>3.6499999999999998E-2</v>
      </c>
      <c r="P117" s="59">
        <v>2.96E-18</v>
      </c>
      <c r="Q117" s="59">
        <v>8.83E-14</v>
      </c>
      <c r="R117" s="60">
        <v>2.1600000000000001E-14</v>
      </c>
      <c r="S117" s="54">
        <v>22.1</v>
      </c>
      <c r="T117" s="55">
        <v>48.8</v>
      </c>
      <c r="U117" s="56">
        <v>33.1</v>
      </c>
      <c r="V117" s="55">
        <v>0.16</v>
      </c>
      <c r="W117" s="55">
        <v>0.36</v>
      </c>
      <c r="X117" s="56">
        <v>0.24</v>
      </c>
      <c r="Y117" s="54">
        <f>S117/(3*(1-2*V117))</f>
        <v>10.833333333333334</v>
      </c>
      <c r="Z117" s="56">
        <f>T117/(3*(1-2*W117))</f>
        <v>58.095238095238088</v>
      </c>
      <c r="AA117" s="54">
        <f>S117/(2*(1+V117))</f>
        <v>9.5258620689655178</v>
      </c>
      <c r="AB117" s="56">
        <f>T117/(2*(1+W117))</f>
        <v>17.941176470588236</v>
      </c>
      <c r="AC117" s="54"/>
      <c r="AD117" s="56"/>
      <c r="AE117" s="54"/>
      <c r="AF117" s="56"/>
      <c r="AG117" s="55"/>
      <c r="AH117" s="56"/>
      <c r="AI117" s="54"/>
      <c r="AJ117" s="56"/>
      <c r="AK117" s="55"/>
      <c r="AL117" s="56"/>
      <c r="AM117" s="54"/>
      <c r="AN117" s="56"/>
      <c r="AO117" s="59"/>
      <c r="AP117" s="60"/>
      <c r="AQ117" s="61"/>
      <c r="AR117" s="62"/>
      <c r="AS117" s="38"/>
      <c r="AT117" s="63"/>
      <c r="AU117" s="64"/>
      <c r="AV117" s="64"/>
      <c r="AW117" s="53"/>
      <c r="AX117" s="65"/>
      <c r="AY117" s="64"/>
      <c r="AZ117" s="64"/>
      <c r="BA117" s="53"/>
      <c r="BB117" s="63"/>
      <c r="BC117" s="64"/>
      <c r="BD117" s="64"/>
      <c r="BE117" s="53"/>
      <c r="BF117" s="36"/>
      <c r="BG117" s="38"/>
      <c r="BH117" s="63"/>
      <c r="BI117" s="64"/>
      <c r="BJ117" s="64"/>
      <c r="BK117" s="53"/>
      <c r="BL117" s="66"/>
      <c r="BM117" s="62"/>
      <c r="BN117" s="37"/>
      <c r="BO117" s="38"/>
      <c r="BP117" s="36"/>
      <c r="BQ117" s="38"/>
      <c r="BR117" s="37"/>
      <c r="BS117" s="38"/>
      <c r="BT117" s="35"/>
      <c r="BU117" s="38"/>
      <c r="BV117" s="66"/>
      <c r="BW117" s="62"/>
      <c r="BX117" s="66"/>
      <c r="BY117" s="62"/>
      <c r="BZ117" s="67"/>
      <c r="CA117" s="61"/>
      <c r="CB117" s="62"/>
      <c r="CC117" s="37"/>
      <c r="CD117" s="38"/>
      <c r="CE117" s="64"/>
      <c r="CF117" s="53"/>
      <c r="CG117" s="37"/>
      <c r="CH117" s="38"/>
      <c r="CI117" s="36"/>
      <c r="CJ117" s="38"/>
      <c r="CK117" s="37"/>
      <c r="CL117" s="38"/>
      <c r="CM117" s="36"/>
      <c r="CN117" s="38"/>
      <c r="CO117" s="37"/>
      <c r="CP117" s="38"/>
      <c r="CQ117" s="37"/>
      <c r="CR117" s="38"/>
      <c r="CS117" s="37"/>
      <c r="CT117" s="38"/>
      <c r="CU117" s="66"/>
      <c r="CV117" s="61"/>
      <c r="CW117" s="35"/>
      <c r="CX117" s="68">
        <v>42485</v>
      </c>
      <c r="CY117" s="37"/>
      <c r="CZ117" s="35"/>
      <c r="DA117" s="60"/>
      <c r="DB117" s="69"/>
      <c r="DC117" s="60"/>
      <c r="DD117" s="69"/>
      <c r="DE117" s="60"/>
      <c r="DF117" s="70"/>
      <c r="DG117" s="70"/>
      <c r="DH117" s="71"/>
      <c r="DI117" s="64"/>
      <c r="DJ117" s="35">
        <v>5</v>
      </c>
      <c r="DK117" s="61"/>
      <c r="DL117" s="61"/>
      <c r="DM117" s="72"/>
      <c r="DN117" s="64"/>
      <c r="DO117" s="72"/>
      <c r="DP117" s="64"/>
      <c r="DQ117" s="72"/>
      <c r="DR117" s="64"/>
      <c r="DS117" s="70">
        <v>1.9</v>
      </c>
      <c r="DT117" s="36"/>
      <c r="DU117" s="66"/>
      <c r="DV117" s="62"/>
      <c r="DW117" s="62">
        <v>1500</v>
      </c>
      <c r="DX117" s="73">
        <v>42485</v>
      </c>
      <c r="DY117" s="4" t="s">
        <v>893</v>
      </c>
      <c r="DZ117" s="74" t="s">
        <v>894</v>
      </c>
      <c r="EA117" s="241" t="s">
        <v>895</v>
      </c>
    </row>
    <row r="118" spans="1:131" x14ac:dyDescent="0.4">
      <c r="A118" s="4" t="s">
        <v>40</v>
      </c>
      <c r="B118" s="5" t="s">
        <v>246</v>
      </c>
      <c r="C118" s="8">
        <v>34.651687000000003</v>
      </c>
      <c r="D118" s="8">
        <v>-98.005574999999993</v>
      </c>
      <c r="E118" s="7" t="s">
        <v>170</v>
      </c>
      <c r="F118" s="5" t="s">
        <v>171</v>
      </c>
      <c r="G118" s="7" t="s">
        <v>247</v>
      </c>
      <c r="H118" s="4" t="s">
        <v>173</v>
      </c>
      <c r="I118" s="52"/>
      <c r="J118" s="53"/>
      <c r="K118" s="36">
        <v>2200</v>
      </c>
      <c r="L118" s="38">
        <v>2900</v>
      </c>
      <c r="M118" s="54">
        <v>5.0000000000000001E-3</v>
      </c>
      <c r="N118" s="55">
        <v>3.1E-2</v>
      </c>
      <c r="O118" s="56">
        <v>0.05</v>
      </c>
      <c r="P118" s="59">
        <v>4.3600000000000003E-19</v>
      </c>
      <c r="Q118" s="59">
        <v>1.5100000000000001E-17</v>
      </c>
      <c r="R118" s="60">
        <f>AVERAGE(P118,Q118)</f>
        <v>7.7680000000000006E-18</v>
      </c>
      <c r="S118" s="54">
        <v>6.9</v>
      </c>
      <c r="T118" s="55">
        <v>10.3</v>
      </c>
      <c r="U118" s="56">
        <f>AVERAGE(S118,T118)</f>
        <v>8.6000000000000014</v>
      </c>
      <c r="V118" s="55">
        <v>0.27</v>
      </c>
      <c r="W118" s="55">
        <v>0.37</v>
      </c>
      <c r="X118" s="56">
        <v>0.32</v>
      </c>
      <c r="Y118" s="54">
        <f>S118/(3*(1-2*V118))</f>
        <v>5.0000000000000009</v>
      </c>
      <c r="Z118" s="56">
        <f>T118/(3*(1-2*W118))</f>
        <v>13.205128205128206</v>
      </c>
      <c r="AA118" s="54">
        <f>S118/(2*(1+V118))</f>
        <v>2.7165354330708662</v>
      </c>
      <c r="AB118" s="56">
        <f>T118/(2*(1+W118))</f>
        <v>3.7591240875912408</v>
      </c>
      <c r="AC118" s="54"/>
      <c r="AD118" s="56"/>
      <c r="AE118" s="54"/>
      <c r="AF118" s="56"/>
      <c r="AG118" s="55"/>
      <c r="AH118" s="56"/>
      <c r="AI118" s="54">
        <v>4.8</v>
      </c>
      <c r="AJ118" s="56">
        <v>8.3000000000000007</v>
      </c>
      <c r="AK118" s="55"/>
      <c r="AL118" s="56"/>
      <c r="AM118" s="54"/>
      <c r="AN118" s="56"/>
      <c r="AO118" s="59"/>
      <c r="AP118" s="60"/>
      <c r="AQ118" s="61"/>
      <c r="AR118" s="62"/>
      <c r="AS118" s="38"/>
      <c r="AT118" s="63"/>
      <c r="AU118" s="64"/>
      <c r="AV118" s="64"/>
      <c r="AW118" s="53"/>
      <c r="AX118" s="65"/>
      <c r="AY118" s="64"/>
      <c r="AZ118" s="64"/>
      <c r="BA118" s="53"/>
      <c r="BB118" s="63"/>
      <c r="BC118" s="64"/>
      <c r="BD118" s="64"/>
      <c r="BE118" s="53"/>
      <c r="BF118" s="36"/>
      <c r="BG118" s="38"/>
      <c r="BH118" s="63"/>
      <c r="BI118" s="64"/>
      <c r="BJ118" s="64"/>
      <c r="BK118" s="53"/>
      <c r="BL118" s="66"/>
      <c r="BM118" s="62"/>
      <c r="BN118" s="37" t="s">
        <v>896</v>
      </c>
      <c r="BO118" s="38"/>
      <c r="BP118" s="36"/>
      <c r="BQ118" s="38"/>
      <c r="BR118" s="37"/>
      <c r="BS118" s="38"/>
      <c r="BT118" s="35"/>
      <c r="BU118" s="38"/>
      <c r="BV118" s="66"/>
      <c r="BW118" s="62"/>
      <c r="BX118" s="66"/>
      <c r="BY118" s="62"/>
      <c r="BZ118" s="67">
        <v>250</v>
      </c>
      <c r="CA118" s="61"/>
      <c r="CB118" s="62"/>
      <c r="CC118" s="37"/>
      <c r="CD118" s="38"/>
      <c r="CE118" s="64"/>
      <c r="CF118" s="53"/>
      <c r="CG118" s="37"/>
      <c r="CH118" s="38"/>
      <c r="CI118" s="36"/>
      <c r="CJ118" s="38"/>
      <c r="CK118" s="37"/>
      <c r="CL118" s="38"/>
      <c r="CM118" s="36"/>
      <c r="CN118" s="38"/>
      <c r="CO118" s="37"/>
      <c r="CP118" s="38"/>
      <c r="CQ118" s="37"/>
      <c r="CR118" s="38"/>
      <c r="CS118" s="37"/>
      <c r="CT118" s="38"/>
      <c r="CU118" s="66">
        <v>2133</v>
      </c>
      <c r="CV118" s="61">
        <v>2996</v>
      </c>
      <c r="CW118" s="35"/>
      <c r="CX118" s="68">
        <v>40559</v>
      </c>
      <c r="CY118" s="37" t="s">
        <v>897</v>
      </c>
      <c r="CZ118" s="35"/>
      <c r="DA118" s="60">
        <v>0.26500000000000001</v>
      </c>
      <c r="DB118" s="69">
        <v>35000</v>
      </c>
      <c r="DC118" s="60"/>
      <c r="DD118" s="69"/>
      <c r="DE118" s="60"/>
      <c r="DF118" s="70">
        <v>41.37</v>
      </c>
      <c r="DG118" s="70"/>
      <c r="DH118" s="71">
        <v>40560</v>
      </c>
      <c r="DI118" s="64">
        <v>1</v>
      </c>
      <c r="DJ118" s="35">
        <v>116</v>
      </c>
      <c r="DK118" s="61">
        <v>1600</v>
      </c>
      <c r="DL118" s="61">
        <v>3300</v>
      </c>
      <c r="DM118" s="72"/>
      <c r="DN118" s="64"/>
      <c r="DO118" s="72"/>
      <c r="DP118" s="64">
        <v>0.98</v>
      </c>
      <c r="DQ118" s="72"/>
      <c r="DR118" s="64"/>
      <c r="DS118" s="70">
        <v>2.9</v>
      </c>
      <c r="DT118" s="36" t="s">
        <v>581</v>
      </c>
      <c r="DU118" s="66"/>
      <c r="DV118" s="62"/>
      <c r="DW118" s="62">
        <v>2500</v>
      </c>
      <c r="DX118" s="73">
        <v>40561</v>
      </c>
      <c r="DY118" s="4" t="s">
        <v>898</v>
      </c>
      <c r="DZ118" s="74" t="s">
        <v>899</v>
      </c>
      <c r="EA118" s="241" t="s">
        <v>900</v>
      </c>
    </row>
    <row r="119" spans="1:131" x14ac:dyDescent="0.4">
      <c r="A119" s="4" t="s">
        <v>40</v>
      </c>
      <c r="B119" s="17" t="s">
        <v>248</v>
      </c>
      <c r="C119" s="8">
        <v>34.558664999999998</v>
      </c>
      <c r="D119" s="8">
        <v>-97.470027000000002</v>
      </c>
      <c r="E119" s="7" t="s">
        <v>170</v>
      </c>
      <c r="F119" s="5" t="s">
        <v>171</v>
      </c>
      <c r="G119" s="14" t="s">
        <v>249</v>
      </c>
      <c r="H119" s="4" t="s">
        <v>173</v>
      </c>
      <c r="I119" s="185"/>
      <c r="J119" s="53"/>
      <c r="K119" s="36"/>
      <c r="L119" s="38"/>
      <c r="M119" s="54"/>
      <c r="N119" s="55"/>
      <c r="O119" s="56"/>
      <c r="P119" s="36"/>
      <c r="Q119" s="36"/>
      <c r="R119" s="38"/>
      <c r="S119" s="54"/>
      <c r="T119" s="55"/>
      <c r="U119" s="56"/>
      <c r="V119" s="55"/>
      <c r="W119" s="55"/>
      <c r="X119" s="56"/>
      <c r="Y119" s="54"/>
      <c r="Z119" s="56"/>
      <c r="AA119" s="54"/>
      <c r="AB119" s="56"/>
      <c r="AC119" s="54"/>
      <c r="AD119" s="56"/>
      <c r="AE119" s="54"/>
      <c r="AF119" s="56"/>
      <c r="AG119" s="55"/>
      <c r="AH119" s="56"/>
      <c r="AI119" s="54"/>
      <c r="AJ119" s="56"/>
      <c r="AK119" s="55"/>
      <c r="AL119" s="56"/>
      <c r="AM119" s="54"/>
      <c r="AN119" s="56"/>
      <c r="AO119" s="59"/>
      <c r="AP119" s="60"/>
      <c r="AQ119" s="61"/>
      <c r="AR119" s="62"/>
      <c r="AS119" s="38"/>
      <c r="AT119" s="63"/>
      <c r="AU119" s="64"/>
      <c r="AV119" s="64"/>
      <c r="AW119" s="53"/>
      <c r="AX119" s="65"/>
      <c r="AY119" s="64"/>
      <c r="AZ119" s="64"/>
      <c r="BA119" s="53"/>
      <c r="BB119" s="63"/>
      <c r="BC119" s="64"/>
      <c r="BD119" s="64"/>
      <c r="BE119" s="53"/>
      <c r="BF119" s="36"/>
      <c r="BG119" s="38"/>
      <c r="BH119" s="63"/>
      <c r="BI119" s="64"/>
      <c r="BJ119" s="64"/>
      <c r="BK119" s="53"/>
      <c r="BL119" s="66"/>
      <c r="BM119" s="62"/>
      <c r="BN119" s="37"/>
      <c r="BO119" s="38"/>
      <c r="BP119" s="36"/>
      <c r="BQ119" s="38"/>
      <c r="BR119" s="37"/>
      <c r="BS119" s="38"/>
      <c r="BT119" s="35"/>
      <c r="BU119" s="38"/>
      <c r="BV119" s="66"/>
      <c r="BW119" s="62"/>
      <c r="BX119" s="66"/>
      <c r="BY119" s="62"/>
      <c r="BZ119" s="67"/>
      <c r="CA119" s="61"/>
      <c r="CB119" s="62"/>
      <c r="CC119" s="37"/>
      <c r="CD119" s="38"/>
      <c r="CE119" s="64"/>
      <c r="CF119" s="53"/>
      <c r="CG119" s="37"/>
      <c r="CH119" s="38"/>
      <c r="CI119" s="36"/>
      <c r="CJ119" s="38"/>
      <c r="CK119" s="37"/>
      <c r="CL119" s="38"/>
      <c r="CM119" s="36"/>
      <c r="CN119" s="38"/>
      <c r="CO119" s="37"/>
      <c r="CP119" s="38"/>
      <c r="CQ119" s="37"/>
      <c r="CR119" s="38"/>
      <c r="CS119" s="37"/>
      <c r="CT119" s="38"/>
      <c r="CU119" s="110">
        <v>2133</v>
      </c>
      <c r="CV119" s="104">
        <v>3134</v>
      </c>
      <c r="CW119" s="134" t="s">
        <v>266</v>
      </c>
      <c r="CX119" s="68">
        <v>40560</v>
      </c>
      <c r="CY119" s="37"/>
      <c r="CZ119" s="35"/>
      <c r="DA119" s="60"/>
      <c r="DB119" s="112">
        <v>18000</v>
      </c>
      <c r="DC119" s="60"/>
      <c r="DD119" s="69"/>
      <c r="DE119" s="60"/>
      <c r="DF119" s="70"/>
      <c r="DG119" s="70"/>
      <c r="DH119" s="71"/>
      <c r="DI119" s="64"/>
      <c r="DJ119" s="134" t="s">
        <v>901</v>
      </c>
      <c r="DK119" s="104">
        <v>2000</v>
      </c>
      <c r="DL119" s="104">
        <v>3000</v>
      </c>
      <c r="DM119" s="72"/>
      <c r="DN119" s="64"/>
      <c r="DO119" s="72"/>
      <c r="DP119" s="64"/>
      <c r="DQ119" s="186">
        <v>0.98</v>
      </c>
      <c r="DR119" s="107">
        <v>1.4</v>
      </c>
      <c r="DS119" s="116">
        <v>2.9</v>
      </c>
      <c r="DT119" s="99" t="s">
        <v>581</v>
      </c>
      <c r="DU119" s="110">
        <v>2800</v>
      </c>
      <c r="DV119" s="105">
        <v>3300</v>
      </c>
      <c r="DW119" s="105">
        <v>2500</v>
      </c>
      <c r="DX119" s="115">
        <v>40561</v>
      </c>
      <c r="DY119" s="4"/>
      <c r="DZ119" s="140" t="s">
        <v>902</v>
      </c>
      <c r="EA119" s="241" t="s">
        <v>903</v>
      </c>
    </row>
    <row r="120" spans="1:131" x14ac:dyDescent="0.4">
      <c r="A120" s="4" t="s">
        <v>40</v>
      </c>
      <c r="B120" s="5" t="s">
        <v>250</v>
      </c>
      <c r="C120" s="8">
        <v>35.048229999999997</v>
      </c>
      <c r="D120" s="8">
        <v>-96.249298999999993</v>
      </c>
      <c r="E120" s="7" t="s">
        <v>170</v>
      </c>
      <c r="F120" s="5" t="s">
        <v>171</v>
      </c>
      <c r="G120" s="7" t="s">
        <v>251</v>
      </c>
      <c r="H120" s="4" t="s">
        <v>173</v>
      </c>
      <c r="I120" s="52"/>
      <c r="J120" s="53"/>
      <c r="K120" s="36">
        <v>2200</v>
      </c>
      <c r="L120" s="38">
        <v>2900</v>
      </c>
      <c r="M120" s="54"/>
      <c r="N120" s="55"/>
      <c r="O120" s="56">
        <v>0.158</v>
      </c>
      <c r="P120" s="36"/>
      <c r="Q120" s="36"/>
      <c r="R120" s="60">
        <v>9.9999999999999998E-17</v>
      </c>
      <c r="S120" s="54"/>
      <c r="T120" s="55"/>
      <c r="U120" s="56">
        <v>17.3</v>
      </c>
      <c r="V120" s="55"/>
      <c r="W120" s="55"/>
      <c r="X120" s="56">
        <v>0.31</v>
      </c>
      <c r="Y120" s="54"/>
      <c r="Z120" s="56"/>
      <c r="AA120" s="54"/>
      <c r="AB120" s="56"/>
      <c r="AC120" s="54"/>
      <c r="AD120" s="56">
        <v>0.94</v>
      </c>
      <c r="AE120" s="54"/>
      <c r="AF120" s="56"/>
      <c r="AG120" s="55"/>
      <c r="AH120" s="56"/>
      <c r="AI120" s="54"/>
      <c r="AJ120" s="56"/>
      <c r="AK120" s="55"/>
      <c r="AL120" s="56"/>
      <c r="AM120" s="54"/>
      <c r="AN120" s="56"/>
      <c r="AO120" s="59"/>
      <c r="AP120" s="60"/>
      <c r="AQ120" s="61"/>
      <c r="AR120" s="62"/>
      <c r="AS120" s="38"/>
      <c r="AT120" s="63"/>
      <c r="AU120" s="64"/>
      <c r="AV120" s="64"/>
      <c r="AW120" s="53"/>
      <c r="AX120" s="65"/>
      <c r="AY120" s="64"/>
      <c r="AZ120" s="64"/>
      <c r="BA120" s="53"/>
      <c r="BB120" s="63"/>
      <c r="BC120" s="64"/>
      <c r="BD120" s="64"/>
      <c r="BE120" s="53"/>
      <c r="BF120" s="36" t="s">
        <v>904</v>
      </c>
      <c r="BG120" s="38" t="s">
        <v>842</v>
      </c>
      <c r="BH120" s="63"/>
      <c r="BI120" s="64"/>
      <c r="BJ120" s="64"/>
      <c r="BK120" s="53"/>
      <c r="BL120" s="66"/>
      <c r="BM120" s="62"/>
      <c r="BN120" s="37" t="s">
        <v>905</v>
      </c>
      <c r="BO120" s="38" t="s">
        <v>882</v>
      </c>
      <c r="BP120" s="36"/>
      <c r="BQ120" s="38"/>
      <c r="BR120" s="37"/>
      <c r="BS120" s="38"/>
      <c r="BT120" s="35"/>
      <c r="BU120" s="38"/>
      <c r="BV120" s="66"/>
      <c r="BW120" s="62"/>
      <c r="BX120" s="66"/>
      <c r="BY120" s="62"/>
      <c r="BZ120" s="67"/>
      <c r="CA120" s="61"/>
      <c r="CB120" s="62"/>
      <c r="CC120" s="37"/>
      <c r="CD120" s="38"/>
      <c r="CE120" s="64"/>
      <c r="CF120" s="53"/>
      <c r="CG120" s="37"/>
      <c r="CH120" s="38"/>
      <c r="CI120" s="36"/>
      <c r="CJ120" s="38"/>
      <c r="CK120" s="37"/>
      <c r="CL120" s="38"/>
      <c r="CM120" s="36"/>
      <c r="CN120" s="38"/>
      <c r="CO120" s="37"/>
      <c r="CP120" s="38"/>
      <c r="CQ120" s="37"/>
      <c r="CR120" s="38"/>
      <c r="CS120" s="37"/>
      <c r="CT120" s="38"/>
      <c r="CU120" s="66">
        <v>2522</v>
      </c>
      <c r="CV120" s="61">
        <v>2637</v>
      </c>
      <c r="CW120" s="35" t="s">
        <v>266</v>
      </c>
      <c r="CX120" s="68">
        <v>39426</v>
      </c>
      <c r="CY120" s="37"/>
      <c r="CZ120" s="35"/>
      <c r="DA120" s="60"/>
      <c r="DB120" s="69"/>
      <c r="DC120" s="60"/>
      <c r="DD120" s="69"/>
      <c r="DE120" s="60"/>
      <c r="DF120" s="70"/>
      <c r="DG120" s="70"/>
      <c r="DH120" s="71"/>
      <c r="DI120" s="64"/>
      <c r="DJ120" s="35">
        <v>171</v>
      </c>
      <c r="DK120" s="61">
        <v>2473</v>
      </c>
      <c r="DL120" s="61">
        <v>2744</v>
      </c>
      <c r="DM120" s="72"/>
      <c r="DN120" s="64"/>
      <c r="DO120" s="72"/>
      <c r="DP120" s="64"/>
      <c r="DQ120" s="72"/>
      <c r="DR120" s="64"/>
      <c r="DS120" s="70">
        <v>-1.9</v>
      </c>
      <c r="DT120" s="36"/>
      <c r="DU120" s="66"/>
      <c r="DV120" s="62"/>
      <c r="DW120" s="62"/>
      <c r="DX120" s="73">
        <v>39083</v>
      </c>
      <c r="DY120" s="4" t="s">
        <v>832</v>
      </c>
      <c r="DZ120" s="74" t="s">
        <v>906</v>
      </c>
      <c r="EA120" s="241" t="s">
        <v>907</v>
      </c>
    </row>
    <row r="121" spans="1:131" x14ac:dyDescent="0.4">
      <c r="A121" s="4" t="s">
        <v>40</v>
      </c>
      <c r="B121" s="5" t="s">
        <v>252</v>
      </c>
      <c r="C121" s="8">
        <v>42.421554</v>
      </c>
      <c r="D121" s="8">
        <v>-109.70314999999999</v>
      </c>
      <c r="E121" s="7" t="s">
        <v>170</v>
      </c>
      <c r="F121" s="5" t="s">
        <v>171</v>
      </c>
      <c r="G121" s="7" t="s">
        <v>253</v>
      </c>
      <c r="H121" s="4" t="s">
        <v>23</v>
      </c>
      <c r="I121" s="52"/>
      <c r="J121" s="53"/>
      <c r="K121" s="36">
        <v>2630</v>
      </c>
      <c r="L121" s="38"/>
      <c r="M121" s="54"/>
      <c r="N121" s="55"/>
      <c r="O121" s="56">
        <v>0.06</v>
      </c>
      <c r="P121" s="36"/>
      <c r="Q121" s="59">
        <v>2.47E-17</v>
      </c>
      <c r="R121" s="60">
        <v>5.9000000000000002E-18</v>
      </c>
      <c r="S121" s="54"/>
      <c r="T121" s="55"/>
      <c r="U121" s="56"/>
      <c r="V121" s="55"/>
      <c r="W121" s="55"/>
      <c r="X121" s="56"/>
      <c r="Y121" s="54"/>
      <c r="Z121" s="56"/>
      <c r="AA121" s="54"/>
      <c r="AB121" s="56"/>
      <c r="AC121" s="54"/>
      <c r="AD121" s="56"/>
      <c r="AE121" s="54"/>
      <c r="AF121" s="56"/>
      <c r="AG121" s="55"/>
      <c r="AH121" s="56"/>
      <c r="AI121" s="54"/>
      <c r="AJ121" s="56"/>
      <c r="AK121" s="55"/>
      <c r="AL121" s="56"/>
      <c r="AM121" s="54"/>
      <c r="AN121" s="56"/>
      <c r="AO121" s="59"/>
      <c r="AP121" s="60"/>
      <c r="AQ121" s="61"/>
      <c r="AR121" s="62"/>
      <c r="AS121" s="38"/>
      <c r="AT121" s="63"/>
      <c r="AU121" s="64"/>
      <c r="AV121" s="64"/>
      <c r="AW121" s="53"/>
      <c r="AX121" s="65"/>
      <c r="AY121" s="64"/>
      <c r="AZ121" s="64"/>
      <c r="BA121" s="53"/>
      <c r="BB121" s="63"/>
      <c r="BC121" s="64"/>
      <c r="BD121" s="64"/>
      <c r="BE121" s="53"/>
      <c r="BF121" s="36"/>
      <c r="BG121" s="38"/>
      <c r="BH121" s="63"/>
      <c r="BI121" s="64"/>
      <c r="BJ121" s="64"/>
      <c r="BK121" s="53"/>
      <c r="BL121" s="66"/>
      <c r="BM121" s="62"/>
      <c r="BN121" s="37" t="s">
        <v>908</v>
      </c>
      <c r="BO121" s="38" t="s">
        <v>909</v>
      </c>
      <c r="BP121" s="36"/>
      <c r="BQ121" s="38"/>
      <c r="BR121" s="37"/>
      <c r="BS121" s="38"/>
      <c r="BT121" s="35"/>
      <c r="BU121" s="38"/>
      <c r="BV121" s="66"/>
      <c r="BW121" s="62"/>
      <c r="BX121" s="66"/>
      <c r="BY121" s="62"/>
      <c r="BZ121" s="67"/>
      <c r="CA121" s="61"/>
      <c r="CB121" s="62"/>
      <c r="CC121" s="37"/>
      <c r="CD121" s="38"/>
      <c r="CE121" s="64"/>
      <c r="CF121" s="53"/>
      <c r="CG121" s="37"/>
      <c r="CH121" s="38"/>
      <c r="CI121" s="36"/>
      <c r="CJ121" s="38"/>
      <c r="CK121" s="37"/>
      <c r="CL121" s="38"/>
      <c r="CM121" s="36"/>
      <c r="CN121" s="38"/>
      <c r="CO121" s="37"/>
      <c r="CP121" s="38"/>
      <c r="CQ121" s="37"/>
      <c r="CR121" s="38"/>
      <c r="CS121" s="37"/>
      <c r="CT121" s="38"/>
      <c r="CU121" s="66">
        <v>3280</v>
      </c>
      <c r="CV121" s="61">
        <v>3353</v>
      </c>
      <c r="CW121" s="35" t="s">
        <v>266</v>
      </c>
      <c r="CX121" s="68"/>
      <c r="CY121" s="37"/>
      <c r="CZ121" s="35"/>
      <c r="DA121" s="60"/>
      <c r="DB121" s="69">
        <v>119</v>
      </c>
      <c r="DC121" s="60">
        <v>278</v>
      </c>
      <c r="DD121" s="69"/>
      <c r="DE121" s="60"/>
      <c r="DF121" s="70"/>
      <c r="DG121" s="70"/>
      <c r="DH121" s="71"/>
      <c r="DI121" s="64"/>
      <c r="DJ121" s="35"/>
      <c r="DK121" s="61">
        <v>3170</v>
      </c>
      <c r="DL121" s="61">
        <v>3430</v>
      </c>
      <c r="DM121" s="72"/>
      <c r="DN121" s="64"/>
      <c r="DO121" s="72"/>
      <c r="DP121" s="64"/>
      <c r="DQ121" s="72"/>
      <c r="DR121" s="64"/>
      <c r="DS121" s="70">
        <v>-1.2</v>
      </c>
      <c r="DT121" s="36"/>
      <c r="DU121" s="66"/>
      <c r="DV121" s="62"/>
      <c r="DW121" s="62"/>
      <c r="DX121" s="73"/>
      <c r="DY121" s="4" t="s">
        <v>832</v>
      </c>
      <c r="DZ121" s="74" t="s">
        <v>910</v>
      </c>
      <c r="EA121" s="241" t="s">
        <v>911</v>
      </c>
    </row>
    <row r="122" spans="1:131" x14ac:dyDescent="0.4">
      <c r="A122" s="4" t="s">
        <v>40</v>
      </c>
      <c r="B122" s="5" t="s">
        <v>254</v>
      </c>
      <c r="C122" s="8">
        <v>41.013705999999999</v>
      </c>
      <c r="D122" s="8">
        <v>-80.536242999999999</v>
      </c>
      <c r="E122" s="7" t="s">
        <v>170</v>
      </c>
      <c r="F122" s="5" t="s">
        <v>171</v>
      </c>
      <c r="G122" s="14" t="s">
        <v>255</v>
      </c>
      <c r="H122" s="4" t="s">
        <v>173</v>
      </c>
      <c r="I122" s="52"/>
      <c r="J122" s="53"/>
      <c r="K122" s="99">
        <v>2680</v>
      </c>
      <c r="L122" s="38"/>
      <c r="M122" s="101">
        <v>0.06</v>
      </c>
      <c r="N122" s="55"/>
      <c r="O122" s="56">
        <v>0.06</v>
      </c>
      <c r="P122" s="36"/>
      <c r="Q122" s="59">
        <v>9.9999999999999998E-17</v>
      </c>
      <c r="R122" s="60">
        <f>Q122</f>
        <v>9.9999999999999998E-17</v>
      </c>
      <c r="S122" s="54"/>
      <c r="T122" s="103">
        <v>17.8</v>
      </c>
      <c r="U122" s="102">
        <v>17.8</v>
      </c>
      <c r="V122" s="103">
        <v>0.27</v>
      </c>
      <c r="W122" s="55"/>
      <c r="X122" s="56">
        <v>0.27</v>
      </c>
      <c r="Y122" s="54"/>
      <c r="Z122" s="56">
        <f>T122/(3*(1-2*W122))</f>
        <v>5.9333333333333336</v>
      </c>
      <c r="AA122" s="54"/>
      <c r="AB122" s="56">
        <f>T122/(2*(1+W122))</f>
        <v>8.9</v>
      </c>
      <c r="AC122" s="54"/>
      <c r="AD122" s="56"/>
      <c r="AE122" s="54"/>
      <c r="AF122" s="56"/>
      <c r="AG122" s="55"/>
      <c r="AH122" s="56"/>
      <c r="AI122" s="54"/>
      <c r="AJ122" s="56"/>
      <c r="AK122" s="55"/>
      <c r="AL122" s="56"/>
      <c r="AM122" s="54"/>
      <c r="AN122" s="56"/>
      <c r="AO122" s="59"/>
      <c r="AP122" s="60"/>
      <c r="AQ122" s="61"/>
      <c r="AR122" s="62"/>
      <c r="AS122" s="38"/>
      <c r="AT122" s="63"/>
      <c r="AU122" s="64"/>
      <c r="AV122" s="64"/>
      <c r="AW122" s="53"/>
      <c r="AX122" s="65"/>
      <c r="AY122" s="64"/>
      <c r="AZ122" s="64"/>
      <c r="BA122" s="53"/>
      <c r="BB122" s="63"/>
      <c r="BC122" s="64"/>
      <c r="BD122" s="64"/>
      <c r="BE122" s="53"/>
      <c r="BF122" s="99" t="s">
        <v>912</v>
      </c>
      <c r="BG122" s="38"/>
      <c r="BH122" s="63"/>
      <c r="BI122" s="64"/>
      <c r="BJ122" s="64"/>
      <c r="BK122" s="53"/>
      <c r="BL122" s="66"/>
      <c r="BM122" s="62"/>
      <c r="BN122" s="37" t="s">
        <v>913</v>
      </c>
      <c r="BO122" s="38"/>
      <c r="BP122" s="36"/>
      <c r="BQ122" s="38">
        <v>90</v>
      </c>
      <c r="BR122" s="37"/>
      <c r="BS122" s="38"/>
      <c r="BT122" s="35"/>
      <c r="BU122" s="38"/>
      <c r="BV122" s="66"/>
      <c r="BW122" s="62"/>
      <c r="BX122" s="66"/>
      <c r="BY122" s="62"/>
      <c r="BZ122" s="67"/>
      <c r="CA122" s="61"/>
      <c r="CB122" s="62"/>
      <c r="CC122" s="37"/>
      <c r="CD122" s="38"/>
      <c r="CE122" s="64"/>
      <c r="CF122" s="53"/>
      <c r="CG122" s="37"/>
      <c r="CH122" s="38"/>
      <c r="CI122" s="36"/>
      <c r="CJ122" s="38"/>
      <c r="CK122" s="37"/>
      <c r="CL122" s="38"/>
      <c r="CM122" s="36"/>
      <c r="CN122" s="38"/>
      <c r="CO122" s="37"/>
      <c r="CP122" s="38"/>
      <c r="CQ122" s="37"/>
      <c r="CR122" s="38"/>
      <c r="CS122" s="37"/>
      <c r="CT122" s="38"/>
      <c r="CU122" s="66">
        <v>2400</v>
      </c>
      <c r="CV122" s="61"/>
      <c r="CW122" s="35"/>
      <c r="CX122" s="68">
        <v>41702</v>
      </c>
      <c r="CY122" s="37"/>
      <c r="CZ122" s="35"/>
      <c r="DA122" s="60"/>
      <c r="DB122" s="69"/>
      <c r="DC122" s="60"/>
      <c r="DD122" s="69"/>
      <c r="DE122" s="60"/>
      <c r="DF122" s="70"/>
      <c r="DG122" s="70"/>
      <c r="DH122" s="71">
        <v>41702</v>
      </c>
      <c r="DI122" s="64"/>
      <c r="DJ122" s="35">
        <v>77</v>
      </c>
      <c r="DK122" s="61">
        <v>2900</v>
      </c>
      <c r="DL122" s="61">
        <v>3200</v>
      </c>
      <c r="DM122" s="72"/>
      <c r="DN122" s="64"/>
      <c r="DO122" s="72"/>
      <c r="DP122" s="107">
        <v>0.89</v>
      </c>
      <c r="DQ122" s="72"/>
      <c r="DR122" s="129"/>
      <c r="DS122" s="70">
        <v>3</v>
      </c>
      <c r="DT122" s="36" t="s">
        <v>581</v>
      </c>
      <c r="DU122" s="66"/>
      <c r="DV122" s="62">
        <v>3100</v>
      </c>
      <c r="DW122" s="62">
        <v>270</v>
      </c>
      <c r="DX122" s="73">
        <v>41708</v>
      </c>
      <c r="DY122" s="4" t="s">
        <v>914</v>
      </c>
      <c r="DZ122" s="74"/>
      <c r="EA122" s="241" t="s">
        <v>915</v>
      </c>
    </row>
    <row r="123" spans="1:131" x14ac:dyDescent="0.4">
      <c r="A123" s="10" t="s">
        <v>40</v>
      </c>
      <c r="B123" s="11" t="s">
        <v>256</v>
      </c>
      <c r="C123" s="12">
        <v>40.215713000000001</v>
      </c>
      <c r="D123" s="30">
        <v>-81.200344999999999</v>
      </c>
      <c r="E123" s="13" t="s">
        <v>170</v>
      </c>
      <c r="F123" s="11" t="s">
        <v>171</v>
      </c>
      <c r="G123" s="31" t="s">
        <v>255</v>
      </c>
      <c r="H123" s="32" t="s">
        <v>173</v>
      </c>
      <c r="I123" s="77"/>
      <c r="J123" s="78"/>
      <c r="K123" s="44">
        <v>2680</v>
      </c>
      <c r="L123" s="43"/>
      <c r="M123" s="148">
        <v>0.06</v>
      </c>
      <c r="N123" s="150"/>
      <c r="O123" s="151">
        <v>0.06</v>
      </c>
      <c r="P123" s="42"/>
      <c r="Q123" s="149">
        <v>9.9999999999999998E-17</v>
      </c>
      <c r="R123" s="83">
        <f>Q123</f>
        <v>9.9999999999999998E-17</v>
      </c>
      <c r="S123" s="79"/>
      <c r="T123" s="150">
        <v>17.8</v>
      </c>
      <c r="U123" s="151">
        <v>17.8</v>
      </c>
      <c r="V123" s="150">
        <v>0.27</v>
      </c>
      <c r="W123" s="80"/>
      <c r="X123" s="81">
        <v>0.27</v>
      </c>
      <c r="Y123" s="79"/>
      <c r="Z123" s="81">
        <f>T123/(3*(1-2*W123))</f>
        <v>5.9333333333333336</v>
      </c>
      <c r="AA123" s="79"/>
      <c r="AB123" s="81">
        <f>T123/(2*(1+W123))</f>
        <v>8.9</v>
      </c>
      <c r="AC123" s="79"/>
      <c r="AD123" s="81"/>
      <c r="AE123" s="79"/>
      <c r="AF123" s="81"/>
      <c r="AG123" s="80"/>
      <c r="AH123" s="81"/>
      <c r="AI123" s="79"/>
      <c r="AJ123" s="81"/>
      <c r="AK123" s="80"/>
      <c r="AL123" s="81"/>
      <c r="AM123" s="79"/>
      <c r="AN123" s="81"/>
      <c r="AO123" s="82"/>
      <c r="AP123" s="84"/>
      <c r="AQ123" s="157"/>
      <c r="AR123" s="152"/>
      <c r="AS123" s="45"/>
      <c r="AT123" s="153"/>
      <c r="AU123" s="154"/>
      <c r="AV123" s="88"/>
      <c r="AW123" s="78"/>
      <c r="AX123" s="155"/>
      <c r="AY123" s="154"/>
      <c r="AZ123" s="88"/>
      <c r="BA123" s="78"/>
      <c r="BB123" s="153"/>
      <c r="BC123" s="154"/>
      <c r="BD123" s="88"/>
      <c r="BE123" s="78"/>
      <c r="BF123" s="44" t="s">
        <v>916</v>
      </c>
      <c r="BG123" s="43"/>
      <c r="BH123" s="153"/>
      <c r="BI123" s="154"/>
      <c r="BJ123" s="88"/>
      <c r="BK123" s="78"/>
      <c r="BL123" s="90"/>
      <c r="BM123" s="86"/>
      <c r="BN123" s="40"/>
      <c r="BO123" s="43"/>
      <c r="BP123" s="42"/>
      <c r="BQ123" s="43"/>
      <c r="BR123" s="40"/>
      <c r="BS123" s="43"/>
      <c r="BT123" s="3"/>
      <c r="BU123" s="43"/>
      <c r="BV123" s="90"/>
      <c r="BW123" s="86"/>
      <c r="BX123" s="90"/>
      <c r="BY123" s="86"/>
      <c r="BZ123" s="91"/>
      <c r="CA123" s="85"/>
      <c r="CB123" s="86"/>
      <c r="CC123" s="40"/>
      <c r="CD123" s="43"/>
      <c r="CE123" s="88"/>
      <c r="CF123" s="78"/>
      <c r="CG123" s="40"/>
      <c r="CH123" s="43"/>
      <c r="CI123" s="42"/>
      <c r="CJ123" s="43"/>
      <c r="CK123" s="40"/>
      <c r="CL123" s="43"/>
      <c r="CM123" s="42"/>
      <c r="CN123" s="43"/>
      <c r="CO123" s="40"/>
      <c r="CP123" s="43"/>
      <c r="CQ123" s="40"/>
      <c r="CR123" s="43"/>
      <c r="CS123" s="40"/>
      <c r="CT123" s="43"/>
      <c r="CU123" s="90">
        <v>2422</v>
      </c>
      <c r="CV123" s="85"/>
      <c r="CW123" s="3"/>
      <c r="CX123" s="92">
        <v>41524</v>
      </c>
      <c r="CY123" s="40"/>
      <c r="CZ123" s="3"/>
      <c r="DA123" s="84">
        <v>0.17665</v>
      </c>
      <c r="DB123" s="93">
        <v>94175</v>
      </c>
      <c r="DC123" s="84"/>
      <c r="DD123" s="93"/>
      <c r="DE123" s="84"/>
      <c r="DF123" s="94">
        <v>89</v>
      </c>
      <c r="DG123" s="94"/>
      <c r="DH123" s="95">
        <v>41525</v>
      </c>
      <c r="DI123" s="88"/>
      <c r="DJ123" s="3">
        <v>478</v>
      </c>
      <c r="DK123" s="85">
        <v>2800</v>
      </c>
      <c r="DL123" s="85">
        <v>3400</v>
      </c>
      <c r="DM123" s="96"/>
      <c r="DN123" s="88"/>
      <c r="DO123" s="96"/>
      <c r="DP123" s="88"/>
      <c r="DQ123" s="96"/>
      <c r="DR123" s="154">
        <v>1.3</v>
      </c>
      <c r="DS123" s="94">
        <v>2</v>
      </c>
      <c r="DT123" s="42" t="s">
        <v>541</v>
      </c>
      <c r="DU123" s="90"/>
      <c r="DV123" s="86"/>
      <c r="DW123" s="86"/>
      <c r="DX123" s="97">
        <v>41549</v>
      </c>
      <c r="DY123" s="187"/>
      <c r="DZ123" s="98" t="s">
        <v>917</v>
      </c>
      <c r="EA123" s="242" t="s">
        <v>918</v>
      </c>
    </row>
    <row r="124" spans="1:131" x14ac:dyDescent="0.4">
      <c r="A124" s="4" t="s">
        <v>168</v>
      </c>
      <c r="B124" s="17" t="s">
        <v>257</v>
      </c>
      <c r="C124" s="8">
        <v>43.661052145121602</v>
      </c>
      <c r="D124" s="8">
        <v>-79.395920653637603</v>
      </c>
      <c r="E124" s="7" t="s">
        <v>258</v>
      </c>
      <c r="F124" s="5" t="s">
        <v>259</v>
      </c>
      <c r="G124" s="7" t="s">
        <v>260</v>
      </c>
      <c r="H124" s="21" t="s">
        <v>49</v>
      </c>
      <c r="I124" s="52"/>
      <c r="J124" s="53"/>
      <c r="K124" s="36"/>
      <c r="L124" s="38"/>
      <c r="M124" s="54">
        <v>0.01</v>
      </c>
      <c r="N124" s="55"/>
      <c r="O124" s="56">
        <v>0.01</v>
      </c>
      <c r="P124" s="59">
        <v>3.9999999999999999E-19</v>
      </c>
      <c r="Q124" s="59"/>
      <c r="R124" s="60">
        <f>P124</f>
        <v>3.9999999999999999E-19</v>
      </c>
      <c r="S124" s="54">
        <v>37.5</v>
      </c>
      <c r="T124" s="55"/>
      <c r="U124" s="56">
        <v>37.5</v>
      </c>
      <c r="V124" s="55">
        <v>0.25</v>
      </c>
      <c r="W124" s="55"/>
      <c r="X124" s="56">
        <v>0.25</v>
      </c>
      <c r="Y124" s="54">
        <f>S124/(3*(1-2*V124))</f>
        <v>25</v>
      </c>
      <c r="Z124" s="56"/>
      <c r="AA124" s="54">
        <f>S124/(2*(1+V124))</f>
        <v>15</v>
      </c>
      <c r="AB124" s="56"/>
      <c r="AC124" s="54">
        <v>0.44900000000000001</v>
      </c>
      <c r="AD124" s="56"/>
      <c r="AE124" s="54"/>
      <c r="AF124" s="56"/>
      <c r="AG124" s="55"/>
      <c r="AH124" s="56"/>
      <c r="AI124" s="101"/>
      <c r="AJ124" s="56"/>
      <c r="AK124" s="55"/>
      <c r="AL124" s="56"/>
      <c r="AM124" s="54"/>
      <c r="AN124" s="56"/>
      <c r="AO124" s="59"/>
      <c r="AP124" s="60"/>
      <c r="AQ124" s="61"/>
      <c r="AR124" s="62"/>
      <c r="AS124" s="38"/>
      <c r="AT124" s="106"/>
      <c r="AU124" s="107"/>
      <c r="AV124" s="64">
        <v>10</v>
      </c>
      <c r="AW124" s="53"/>
      <c r="AX124" s="108"/>
      <c r="AY124" s="107"/>
      <c r="AZ124" s="64">
        <v>30</v>
      </c>
      <c r="BA124" s="53"/>
      <c r="BB124" s="106"/>
      <c r="BC124" s="107"/>
      <c r="BD124" s="64">
        <v>30</v>
      </c>
      <c r="BE124" s="53"/>
      <c r="BF124" s="99"/>
      <c r="BG124" s="100"/>
      <c r="BH124" s="106"/>
      <c r="BI124" s="107"/>
      <c r="BJ124" s="64"/>
      <c r="BK124" s="53"/>
      <c r="BL124" s="66"/>
      <c r="BM124" s="62"/>
      <c r="BN124" s="37"/>
      <c r="BO124" s="38"/>
      <c r="BP124" s="36">
        <v>0</v>
      </c>
      <c r="BQ124" s="38"/>
      <c r="BR124" s="37"/>
      <c r="BS124" s="38"/>
      <c r="BT124" s="35"/>
      <c r="BU124" s="38"/>
      <c r="BV124" s="66"/>
      <c r="BW124" s="62"/>
      <c r="BX124" s="66"/>
      <c r="BY124" s="62"/>
      <c r="BZ124" s="67"/>
      <c r="CA124" s="61"/>
      <c r="CB124" s="62"/>
      <c r="CC124" s="37"/>
      <c r="CD124" s="38"/>
      <c r="CE124" s="64"/>
      <c r="CF124" s="53"/>
      <c r="CG124" s="112"/>
      <c r="CH124" s="58"/>
      <c r="CI124" s="36"/>
      <c r="CJ124" s="38"/>
      <c r="CK124" s="37"/>
      <c r="CL124" s="38"/>
      <c r="CM124" s="36"/>
      <c r="CN124" s="38"/>
      <c r="CO124" s="37"/>
      <c r="CP124" s="38"/>
      <c r="CQ124" s="37"/>
      <c r="CR124" s="38"/>
      <c r="CS124" s="109"/>
      <c r="CT124" s="38"/>
      <c r="CU124" s="66"/>
      <c r="CV124" s="61"/>
      <c r="CW124" s="35"/>
      <c r="CX124" s="68">
        <v>42005</v>
      </c>
      <c r="CY124" s="37" t="s">
        <v>919</v>
      </c>
      <c r="CZ124" s="35"/>
      <c r="DA124" s="58">
        <v>6.7000000000000004E-8</v>
      </c>
      <c r="DB124" s="69">
        <v>4.1999999999999996E-6</v>
      </c>
      <c r="DC124" s="60"/>
      <c r="DD124" s="69"/>
      <c r="DE124" s="60"/>
      <c r="DF124" s="70"/>
      <c r="DG124" s="70"/>
      <c r="DH124" s="71"/>
      <c r="DI124" s="64"/>
      <c r="DJ124" s="35">
        <v>52</v>
      </c>
      <c r="DK124" s="61"/>
      <c r="DL124" s="61"/>
      <c r="DM124" s="72"/>
      <c r="DN124" s="64"/>
      <c r="DO124" s="72"/>
      <c r="DP124" s="64">
        <v>2.4900000000000002</v>
      </c>
      <c r="DQ124" s="72"/>
      <c r="DR124" s="64"/>
      <c r="DS124" s="116">
        <v>-7</v>
      </c>
      <c r="DT124" s="36" t="s">
        <v>541</v>
      </c>
      <c r="DU124" s="66"/>
      <c r="DV124" s="62"/>
      <c r="DW124" s="62">
        <v>0</v>
      </c>
      <c r="DX124" s="188">
        <v>42005</v>
      </c>
      <c r="DY124" s="4"/>
      <c r="DZ124" s="74"/>
      <c r="EA124" s="241" t="s">
        <v>920</v>
      </c>
    </row>
    <row r="125" spans="1:131" x14ac:dyDescent="0.4">
      <c r="A125" s="4" t="s">
        <v>212</v>
      </c>
      <c r="B125" s="33" t="s">
        <v>261</v>
      </c>
      <c r="C125" s="8">
        <v>31.411534</v>
      </c>
      <c r="D125" s="8">
        <v>104.130352</v>
      </c>
      <c r="E125" s="7" t="s">
        <v>258</v>
      </c>
      <c r="F125" s="5" t="s">
        <v>262</v>
      </c>
      <c r="G125" s="7" t="s">
        <v>263</v>
      </c>
      <c r="H125" s="4" t="s">
        <v>264</v>
      </c>
      <c r="I125" s="52">
        <v>20</v>
      </c>
      <c r="J125" s="53">
        <v>80</v>
      </c>
      <c r="K125" s="36"/>
      <c r="L125" s="38"/>
      <c r="M125" s="54"/>
      <c r="N125" s="55"/>
      <c r="O125" s="56"/>
      <c r="P125" s="36"/>
      <c r="Q125" s="36"/>
      <c r="R125" s="38"/>
      <c r="S125" s="54"/>
      <c r="T125" s="55"/>
      <c r="U125" s="56"/>
      <c r="V125" s="55"/>
      <c r="W125" s="55"/>
      <c r="X125" s="56"/>
      <c r="Y125" s="54"/>
      <c r="Z125" s="56"/>
      <c r="AA125" s="54"/>
      <c r="AB125" s="56"/>
      <c r="AC125" s="54"/>
      <c r="AD125" s="56"/>
      <c r="AE125" s="54"/>
      <c r="AF125" s="56"/>
      <c r="AG125" s="55"/>
      <c r="AH125" s="56"/>
      <c r="AI125" s="54"/>
      <c r="AJ125" s="56"/>
      <c r="AK125" s="55"/>
      <c r="AL125" s="56"/>
      <c r="AM125" s="54"/>
      <c r="AN125" s="56"/>
      <c r="AO125" s="59"/>
      <c r="AP125" s="60"/>
      <c r="AQ125" s="61"/>
      <c r="AR125" s="62"/>
      <c r="AS125" s="38"/>
      <c r="AT125" s="63"/>
      <c r="AU125" s="64"/>
      <c r="AV125" s="64"/>
      <c r="AW125" s="53"/>
      <c r="AX125" s="65"/>
      <c r="AY125" s="64"/>
      <c r="AZ125" s="64"/>
      <c r="BA125" s="53"/>
      <c r="BB125" s="63"/>
      <c r="BC125" s="64"/>
      <c r="BD125" s="64"/>
      <c r="BE125" s="53"/>
      <c r="BF125" s="36"/>
      <c r="BG125" s="38"/>
      <c r="BH125" s="63"/>
      <c r="BI125" s="64"/>
      <c r="BJ125" s="64"/>
      <c r="BK125" s="53"/>
      <c r="BL125" s="66"/>
      <c r="BM125" s="62"/>
      <c r="BN125" s="37" t="s">
        <v>630</v>
      </c>
      <c r="BO125" s="38" t="s">
        <v>782</v>
      </c>
      <c r="BP125" s="36">
        <v>38</v>
      </c>
      <c r="BQ125" s="38">
        <v>60</v>
      </c>
      <c r="BR125" s="37" t="s">
        <v>613</v>
      </c>
      <c r="BS125" s="38"/>
      <c r="BT125" s="35" t="s">
        <v>921</v>
      </c>
      <c r="BU125" s="38" t="s">
        <v>577</v>
      </c>
      <c r="BV125" s="66">
        <v>140</v>
      </c>
      <c r="BW125" s="62">
        <v>210</v>
      </c>
      <c r="BX125" s="66">
        <v>40</v>
      </c>
      <c r="BY125" s="62">
        <v>50</v>
      </c>
      <c r="BZ125" s="67">
        <v>0</v>
      </c>
      <c r="CA125" s="61">
        <v>440.49</v>
      </c>
      <c r="CB125" s="62">
        <v>511.11</v>
      </c>
      <c r="CC125" s="37">
        <v>2350</v>
      </c>
      <c r="CD125" s="38">
        <v>2560</v>
      </c>
      <c r="CE125" s="64">
        <v>0.21</v>
      </c>
      <c r="CF125" s="53">
        <v>0.41</v>
      </c>
      <c r="CG125" s="127"/>
      <c r="CH125" s="128"/>
      <c r="CI125" s="36"/>
      <c r="CJ125" s="38"/>
      <c r="CK125" s="37"/>
      <c r="CL125" s="38"/>
      <c r="CM125" s="36"/>
      <c r="CN125" s="38"/>
      <c r="CO125" s="37"/>
      <c r="CP125" s="38"/>
      <c r="CQ125" s="37"/>
      <c r="CR125" s="38"/>
      <c r="CS125" s="37"/>
      <c r="CT125" s="38"/>
      <c r="CU125" s="66">
        <v>135</v>
      </c>
      <c r="CV125" s="61">
        <v>552</v>
      </c>
      <c r="CW125" s="35" t="s">
        <v>922</v>
      </c>
      <c r="CX125" s="68">
        <v>41606</v>
      </c>
      <c r="CY125" s="37" t="s">
        <v>603</v>
      </c>
      <c r="CZ125" s="35"/>
      <c r="DA125" s="60">
        <v>1.67E-3</v>
      </c>
      <c r="DB125" s="69">
        <v>47520</v>
      </c>
      <c r="DC125" s="60"/>
      <c r="DD125" s="69"/>
      <c r="DE125" s="60">
        <f>DB125</f>
        <v>47520</v>
      </c>
      <c r="DF125" s="70">
        <v>16.5</v>
      </c>
      <c r="DG125" s="70"/>
      <c r="DH125" s="71">
        <v>41606</v>
      </c>
      <c r="DI125" s="64">
        <v>0.5</v>
      </c>
      <c r="DJ125" s="35" t="s">
        <v>923</v>
      </c>
      <c r="DK125" s="61">
        <v>400</v>
      </c>
      <c r="DL125" s="61">
        <v>480</v>
      </c>
      <c r="DM125" s="72"/>
      <c r="DN125" s="64"/>
      <c r="DO125" s="72"/>
      <c r="DP125" s="64"/>
      <c r="DQ125" s="72"/>
      <c r="DR125" s="64"/>
      <c r="DS125" s="70">
        <v>1</v>
      </c>
      <c r="DT125" s="36"/>
      <c r="DU125" s="66">
        <v>400</v>
      </c>
      <c r="DV125" s="62">
        <v>480</v>
      </c>
      <c r="DW125" s="62">
        <v>500</v>
      </c>
      <c r="DX125" s="73"/>
      <c r="DY125" s="4" t="s">
        <v>924</v>
      </c>
      <c r="DZ125" s="74" t="s">
        <v>925</v>
      </c>
      <c r="EA125" s="241" t="s">
        <v>926</v>
      </c>
    </row>
    <row r="126" spans="1:131" x14ac:dyDescent="0.4">
      <c r="A126" s="4" t="s">
        <v>71</v>
      </c>
      <c r="B126" s="17" t="s">
        <v>265</v>
      </c>
      <c r="C126" s="8">
        <v>43.928724000000003</v>
      </c>
      <c r="D126" s="9">
        <v>5.4871350000000003</v>
      </c>
      <c r="E126" s="7" t="s">
        <v>258</v>
      </c>
      <c r="F126" s="5" t="s">
        <v>266</v>
      </c>
      <c r="G126" s="7"/>
      <c r="H126" s="21" t="s">
        <v>116</v>
      </c>
      <c r="I126" s="52"/>
      <c r="J126" s="53"/>
      <c r="K126" s="36"/>
      <c r="L126" s="38"/>
      <c r="M126" s="55">
        <v>0.05</v>
      </c>
      <c r="N126" s="55">
        <v>0.2</v>
      </c>
      <c r="O126" s="56">
        <f>AVERAGE(M126,N126)</f>
        <v>0.125</v>
      </c>
      <c r="P126" s="59">
        <v>1.0000000000000001E-17</v>
      </c>
      <c r="Q126" s="59">
        <v>9.9999999999999998E-13</v>
      </c>
      <c r="R126" s="60">
        <v>2.8000000000000002E-13</v>
      </c>
      <c r="S126" s="55">
        <f>(9*Y126*AA126)/(3*Y126+AA126)</f>
        <v>18</v>
      </c>
      <c r="T126" s="55">
        <f>(9*Z126*AB126)/(3*Z126+AB126)</f>
        <v>45</v>
      </c>
      <c r="U126" s="102">
        <f>AVERAGE(S126,T126)</f>
        <v>31.5</v>
      </c>
      <c r="V126" s="55">
        <f>(3*Y126-2*AA126)/(2*(3*Y126+AA126))</f>
        <v>0.2</v>
      </c>
      <c r="W126" s="55">
        <f>(3*Z126-2*AB126)/(2*(3*Z126+AB126))</f>
        <v>0.2</v>
      </c>
      <c r="X126" s="102">
        <f>AVERAGE(V126,W126)</f>
        <v>0.2</v>
      </c>
      <c r="Y126" s="55">
        <v>10</v>
      </c>
      <c r="Z126" s="56">
        <v>25</v>
      </c>
      <c r="AA126" s="55">
        <v>7.5</v>
      </c>
      <c r="AB126" s="56">
        <v>18.75</v>
      </c>
      <c r="AC126" s="55"/>
      <c r="AD126" s="56"/>
      <c r="AE126" s="55"/>
      <c r="AF126" s="56">
        <v>40</v>
      </c>
      <c r="AG126" s="55">
        <v>1</v>
      </c>
      <c r="AH126" s="56">
        <v>20</v>
      </c>
      <c r="AI126" s="101"/>
      <c r="AJ126" s="56"/>
      <c r="AK126" s="55">
        <v>5</v>
      </c>
      <c r="AL126" s="56">
        <v>10</v>
      </c>
      <c r="AM126" s="54"/>
      <c r="AN126" s="56"/>
      <c r="AO126" s="59"/>
      <c r="AP126" s="60"/>
      <c r="AQ126" s="61"/>
      <c r="AR126" s="62"/>
      <c r="AS126" s="38" t="s">
        <v>552</v>
      </c>
      <c r="AT126" s="106">
        <v>2.1399999999999999E-2</v>
      </c>
      <c r="AU126" s="64">
        <v>0</v>
      </c>
      <c r="AV126" s="64">
        <f>PRODUCT(AT126,CU126)</f>
        <v>5.992</v>
      </c>
      <c r="AW126" s="53"/>
      <c r="AX126" s="108">
        <v>1.7899999999999999E-2</v>
      </c>
      <c r="AY126" s="64">
        <v>0</v>
      </c>
      <c r="AZ126" s="64">
        <f>PRODUCT(AX126,CU126)+AY126</f>
        <v>5.0119999999999996</v>
      </c>
      <c r="BA126" s="53"/>
      <c r="BB126" s="106">
        <v>1.0699999999999999E-2</v>
      </c>
      <c r="BC126" s="64">
        <v>0</v>
      </c>
      <c r="BD126" s="64">
        <f>PRODUCT(BB126,CU126)+BC126</f>
        <v>2.996</v>
      </c>
      <c r="BE126" s="53"/>
      <c r="BF126" s="99" t="s">
        <v>675</v>
      </c>
      <c r="BG126" s="100" t="s">
        <v>569</v>
      </c>
      <c r="BH126" s="106"/>
      <c r="BI126" s="107"/>
      <c r="BJ126" s="64"/>
      <c r="BK126" s="53"/>
      <c r="BL126" s="66"/>
      <c r="BM126" s="62">
        <v>12.5</v>
      </c>
      <c r="BN126" s="37" t="s">
        <v>782</v>
      </c>
      <c r="BO126" s="38"/>
      <c r="BP126" s="36">
        <v>70</v>
      </c>
      <c r="BQ126" s="38"/>
      <c r="BR126" s="37"/>
      <c r="BS126" s="38"/>
      <c r="BT126" s="35"/>
      <c r="BU126" s="38"/>
      <c r="BV126" s="66"/>
      <c r="BW126" s="62"/>
      <c r="BX126" s="66"/>
      <c r="BY126" s="62"/>
      <c r="BZ126" s="67"/>
      <c r="CA126" s="61"/>
      <c r="CB126" s="62"/>
      <c r="CC126" s="36"/>
      <c r="CD126" s="38"/>
      <c r="CE126" s="64"/>
      <c r="CF126" s="53"/>
      <c r="CG126" s="57">
        <v>7.0000000000000001E-12</v>
      </c>
      <c r="CH126" s="58"/>
      <c r="CI126" s="36"/>
      <c r="CJ126" s="38"/>
      <c r="CK126" s="37"/>
      <c r="CL126" s="38"/>
      <c r="CM126" s="36"/>
      <c r="CN126" s="38"/>
      <c r="CO126" s="36"/>
      <c r="CP126" s="38"/>
      <c r="CQ126" s="36"/>
      <c r="CR126" s="38"/>
      <c r="CS126" s="99"/>
      <c r="CT126" s="38"/>
      <c r="CU126" s="66">
        <v>280</v>
      </c>
      <c r="CV126" s="61"/>
      <c r="CW126" s="35" t="s">
        <v>927</v>
      </c>
      <c r="CX126" s="68"/>
      <c r="CY126" s="37" t="s">
        <v>597</v>
      </c>
      <c r="CZ126" s="35">
        <v>13</v>
      </c>
      <c r="DA126" s="58">
        <v>1E-3</v>
      </c>
      <c r="DB126" s="69">
        <v>2</v>
      </c>
      <c r="DC126" s="60"/>
      <c r="DD126" s="69"/>
      <c r="DE126" s="60"/>
      <c r="DF126" s="70">
        <v>6</v>
      </c>
      <c r="DG126" s="70"/>
      <c r="DH126" s="71"/>
      <c r="DI126" s="64"/>
      <c r="DJ126" s="35">
        <v>215</v>
      </c>
      <c r="DK126" s="61"/>
      <c r="DL126" s="61"/>
      <c r="DM126" s="72"/>
      <c r="DN126" s="64"/>
      <c r="DO126" s="72"/>
      <c r="DP126" s="64"/>
      <c r="DQ126" s="72"/>
      <c r="DR126" s="64"/>
      <c r="DS126" s="116">
        <v>-3.5</v>
      </c>
      <c r="DT126" s="36" t="s">
        <v>541</v>
      </c>
      <c r="DU126" s="66"/>
      <c r="DV126" s="62"/>
      <c r="DW126" s="62">
        <v>15</v>
      </c>
      <c r="DX126" s="115"/>
      <c r="DY126" s="4" t="s">
        <v>928</v>
      </c>
      <c r="DZ126" s="74" t="s">
        <v>929</v>
      </c>
      <c r="EA126" s="247" t="s">
        <v>930</v>
      </c>
    </row>
    <row r="127" spans="1:131" x14ac:dyDescent="0.4">
      <c r="A127" s="4" t="s">
        <v>71</v>
      </c>
      <c r="B127" s="5" t="s">
        <v>267</v>
      </c>
      <c r="C127" s="8">
        <v>45.052494404289099</v>
      </c>
      <c r="D127" s="9">
        <v>2.4847032336028398</v>
      </c>
      <c r="E127" s="7" t="s">
        <v>258</v>
      </c>
      <c r="F127" s="5" t="s">
        <v>268</v>
      </c>
      <c r="G127" s="14" t="s">
        <v>269</v>
      </c>
      <c r="H127" s="21" t="s">
        <v>173</v>
      </c>
      <c r="I127" s="52"/>
      <c r="J127" s="53"/>
      <c r="K127" s="99"/>
      <c r="L127" s="38">
        <v>2700</v>
      </c>
      <c r="M127" s="103">
        <v>0.08</v>
      </c>
      <c r="N127" s="103">
        <v>0.13</v>
      </c>
      <c r="O127" s="102">
        <v>0.105</v>
      </c>
      <c r="P127" s="59">
        <v>1E-22</v>
      </c>
      <c r="Q127" s="57">
        <v>1.0000000000000001E-18</v>
      </c>
      <c r="R127" s="58">
        <f>AVERAGE(P127,Q127)</f>
        <v>5.0004999999999999E-19</v>
      </c>
      <c r="S127" s="55">
        <v>4.5</v>
      </c>
      <c r="T127" s="103">
        <v>20.55</v>
      </c>
      <c r="U127" s="102">
        <f>AVERAGE(S127,T127)</f>
        <v>12.525</v>
      </c>
      <c r="V127" s="103">
        <v>0.23</v>
      </c>
      <c r="W127" s="55">
        <v>0.4</v>
      </c>
      <c r="X127" s="102">
        <f>AVERAGE(V127,W127)</f>
        <v>0.315</v>
      </c>
      <c r="Y127" s="55">
        <f>S127/(3*(1-2*V127))</f>
        <v>2.7777777777777777</v>
      </c>
      <c r="Z127" s="56">
        <f>T127/(3*(1-2*W127))</f>
        <v>34.250000000000007</v>
      </c>
      <c r="AA127" s="55">
        <f>S127/(2*(1+V127))</f>
        <v>1.8292682926829269</v>
      </c>
      <c r="AB127" s="56">
        <f>T127/(2*(1+W127))</f>
        <v>7.3392857142857153</v>
      </c>
      <c r="AC127" s="55"/>
      <c r="AD127" s="56"/>
      <c r="AE127" s="55"/>
      <c r="AF127" s="56"/>
      <c r="AG127" s="55"/>
      <c r="AH127" s="56"/>
      <c r="AI127" s="54"/>
      <c r="AJ127" s="56"/>
      <c r="AK127" s="55"/>
      <c r="AL127" s="56"/>
      <c r="AM127" s="54"/>
      <c r="AN127" s="56"/>
      <c r="AO127" s="59"/>
      <c r="AP127" s="60"/>
      <c r="AQ127" s="104"/>
      <c r="AR127" s="105"/>
      <c r="AS127" s="100" t="s">
        <v>535</v>
      </c>
      <c r="AT127" s="106">
        <v>2.1100000000000001E-2</v>
      </c>
      <c r="AU127" s="64">
        <v>0</v>
      </c>
      <c r="AV127" s="64">
        <f>PRODUCT(AT127,CU127)</f>
        <v>5.6970000000000001</v>
      </c>
      <c r="AW127" s="53"/>
      <c r="AX127" s="108">
        <v>2.2200000000000001E-2</v>
      </c>
      <c r="AY127" s="64">
        <v>0</v>
      </c>
      <c r="AZ127" s="64">
        <f>PRODUCT(AX127,CU127)</f>
        <v>5.9940000000000007</v>
      </c>
      <c r="BA127" s="53"/>
      <c r="BB127" s="106">
        <v>1.17E-2</v>
      </c>
      <c r="BC127" s="64">
        <v>0</v>
      </c>
      <c r="BD127" s="64">
        <f>PRODUCT(BB127,CU127)</f>
        <v>3.1590000000000003</v>
      </c>
      <c r="BE127" s="53"/>
      <c r="BF127" s="99" t="s">
        <v>931</v>
      </c>
      <c r="BG127" s="38" t="s">
        <v>932</v>
      </c>
      <c r="BH127" s="106"/>
      <c r="BI127" s="107"/>
      <c r="BJ127" s="64"/>
      <c r="BK127" s="53"/>
      <c r="BL127" s="66"/>
      <c r="BM127" s="62"/>
      <c r="BN127" s="37" t="s">
        <v>733</v>
      </c>
      <c r="BO127" s="38"/>
      <c r="BP127" s="36">
        <v>60</v>
      </c>
      <c r="BQ127" s="38">
        <v>90</v>
      </c>
      <c r="BR127" s="37" t="s">
        <v>613</v>
      </c>
      <c r="BS127" s="38"/>
      <c r="BT127" s="35"/>
      <c r="BU127" s="38" t="s">
        <v>577</v>
      </c>
      <c r="BV127" s="66"/>
      <c r="BW127" s="62">
        <v>8.5</v>
      </c>
      <c r="BX127" s="66"/>
      <c r="BY127" s="62">
        <v>2.5</v>
      </c>
      <c r="BZ127" s="67">
        <v>5</v>
      </c>
      <c r="CA127" s="61">
        <v>270</v>
      </c>
      <c r="CB127" s="62"/>
      <c r="CC127" s="36"/>
      <c r="CD127" s="38"/>
      <c r="CE127" s="64"/>
      <c r="CF127" s="53"/>
      <c r="CG127" s="36"/>
      <c r="CH127" s="60">
        <v>5.0000000000000004E-19</v>
      </c>
      <c r="CI127" s="36"/>
      <c r="CJ127" s="38"/>
      <c r="CK127" s="37"/>
      <c r="CL127" s="38"/>
      <c r="CM127" s="36"/>
      <c r="CN127" s="38"/>
      <c r="CO127" s="36"/>
      <c r="CP127" s="38"/>
      <c r="CQ127" s="36"/>
      <c r="CR127" s="38"/>
      <c r="CS127" s="36"/>
      <c r="CT127" s="38"/>
      <c r="CU127" s="66">
        <v>270</v>
      </c>
      <c r="CV127" s="61"/>
      <c r="CW127" s="35"/>
      <c r="CX127" s="68">
        <v>41730</v>
      </c>
      <c r="CY127" s="37" t="s">
        <v>597</v>
      </c>
      <c r="CZ127" s="35"/>
      <c r="DA127" s="60">
        <v>2.0000000000000001E-4</v>
      </c>
      <c r="DB127" s="69">
        <v>0.2</v>
      </c>
      <c r="DC127" s="60"/>
      <c r="DD127" s="69"/>
      <c r="DE127" s="60"/>
      <c r="DF127" s="70">
        <v>4.4000000000000004</v>
      </c>
      <c r="DG127" s="70"/>
      <c r="DH127" s="71"/>
      <c r="DI127" s="64"/>
      <c r="DJ127" s="35">
        <v>32</v>
      </c>
      <c r="DK127" s="61"/>
      <c r="DL127" s="61"/>
      <c r="DM127" s="72"/>
      <c r="DN127" s="64"/>
      <c r="DO127" s="72"/>
      <c r="DP127" s="64"/>
      <c r="DQ127" s="72"/>
      <c r="DR127" s="107"/>
      <c r="DS127" s="70">
        <v>-3.7</v>
      </c>
      <c r="DT127" s="36" t="s">
        <v>541</v>
      </c>
      <c r="DU127" s="66"/>
      <c r="DV127" s="62"/>
      <c r="DW127" s="62">
        <v>10</v>
      </c>
      <c r="DX127" s="73">
        <v>41730</v>
      </c>
      <c r="DY127" s="4"/>
      <c r="DZ127" s="74"/>
      <c r="EA127" s="247" t="s">
        <v>933</v>
      </c>
    </row>
    <row r="128" spans="1:131" ht="23.15" x14ac:dyDescent="0.4">
      <c r="A128" s="4" t="s">
        <v>83</v>
      </c>
      <c r="B128" s="17" t="s">
        <v>270</v>
      </c>
      <c r="C128" s="8">
        <v>49.815713000000002</v>
      </c>
      <c r="D128" s="8">
        <v>12.119527</v>
      </c>
      <c r="E128" s="7" t="s">
        <v>258</v>
      </c>
      <c r="F128" s="5" t="s">
        <v>271</v>
      </c>
      <c r="G128" s="7"/>
      <c r="H128" s="21" t="s">
        <v>85</v>
      </c>
      <c r="I128" s="52"/>
      <c r="J128" s="53"/>
      <c r="K128" s="36"/>
      <c r="L128" s="38"/>
      <c r="M128" s="54">
        <v>0.01</v>
      </c>
      <c r="N128" s="55"/>
      <c r="O128" s="56">
        <v>0.01</v>
      </c>
      <c r="P128" s="59">
        <v>5.0000000000000004E-18</v>
      </c>
      <c r="Q128" s="59">
        <v>1.3E-17</v>
      </c>
      <c r="R128" s="60">
        <f>AVERAGE(P128,Q128)</f>
        <v>8.9999999999999999E-18</v>
      </c>
      <c r="S128" s="54"/>
      <c r="T128" s="55"/>
      <c r="U128" s="56"/>
      <c r="V128" s="55"/>
      <c r="W128" s="55"/>
      <c r="X128" s="56"/>
      <c r="Y128" s="54"/>
      <c r="Z128" s="56"/>
      <c r="AA128" s="54"/>
      <c r="AB128" s="56"/>
      <c r="AC128" s="54"/>
      <c r="AD128" s="56"/>
      <c r="AE128" s="54"/>
      <c r="AF128" s="56"/>
      <c r="AG128" s="55"/>
      <c r="AH128" s="56"/>
      <c r="AI128" s="101">
        <v>209.5</v>
      </c>
      <c r="AJ128" s="56"/>
      <c r="AK128" s="55"/>
      <c r="AL128" s="56"/>
      <c r="AM128" s="54"/>
      <c r="AN128" s="56"/>
      <c r="AO128" s="59"/>
      <c r="AP128" s="60"/>
      <c r="AQ128" s="61"/>
      <c r="AR128" s="62"/>
      <c r="AS128" s="38"/>
      <c r="AT128" s="106">
        <v>2.8000000000000001E-2</v>
      </c>
      <c r="AU128" s="107">
        <v>0</v>
      </c>
      <c r="AV128" s="64">
        <f>PRODUCT(AT128,CU128)</f>
        <v>252.84</v>
      </c>
      <c r="AW128" s="53">
        <f>PRODUCT(AT128,CV128)</f>
        <v>254.8</v>
      </c>
      <c r="AX128" s="108">
        <v>4.7100000000000003E-2</v>
      </c>
      <c r="AY128" s="107">
        <v>-28.542000000000002</v>
      </c>
      <c r="AZ128" s="64">
        <f>PRODUCT(AX128,CU128)+AY128</f>
        <v>396.77100000000007</v>
      </c>
      <c r="BA128" s="53">
        <f>PRODUCT(AX128,CV128)+AY128</f>
        <v>400.06799999999998</v>
      </c>
      <c r="BB128" s="106">
        <v>2.2100000000000002E-2</v>
      </c>
      <c r="BC128" s="107">
        <v>-19.349</v>
      </c>
      <c r="BD128" s="64">
        <f>PRODUCT(BB128,CU128)+BC128</f>
        <v>180.21400000000003</v>
      </c>
      <c r="BE128" s="53">
        <f>PRODUCT(BB128,CV128)+BC128</f>
        <v>181.76100000000002</v>
      </c>
      <c r="BF128" s="99" t="s">
        <v>640</v>
      </c>
      <c r="BG128" s="100" t="s">
        <v>639</v>
      </c>
      <c r="BH128" s="106">
        <v>1.15E-2</v>
      </c>
      <c r="BI128" s="107">
        <v>0</v>
      </c>
      <c r="BJ128" s="64">
        <f>PRODUCT(BH128,CU128)</f>
        <v>103.845</v>
      </c>
      <c r="BK128" s="53">
        <f>PRODUCT(BH128,CV128)</f>
        <v>104.64999999999999</v>
      </c>
      <c r="BL128" s="66">
        <v>260</v>
      </c>
      <c r="BM128" s="62"/>
      <c r="BN128" s="37"/>
      <c r="BO128" s="38"/>
      <c r="BP128" s="36"/>
      <c r="BQ128" s="38"/>
      <c r="BR128" s="37"/>
      <c r="BS128" s="38"/>
      <c r="BT128" s="35"/>
      <c r="BU128" s="38"/>
      <c r="BV128" s="66"/>
      <c r="BW128" s="62"/>
      <c r="BX128" s="66"/>
      <c r="BY128" s="62"/>
      <c r="BZ128" s="67"/>
      <c r="CA128" s="61"/>
      <c r="CB128" s="62"/>
      <c r="CC128" s="37"/>
      <c r="CD128" s="38"/>
      <c r="CE128" s="64"/>
      <c r="CF128" s="53"/>
      <c r="CG128" s="112">
        <v>1.0000000000000001E-17</v>
      </c>
      <c r="CH128" s="58">
        <v>9.9999999999999998E-17</v>
      </c>
      <c r="CI128" s="36"/>
      <c r="CJ128" s="38"/>
      <c r="CK128" s="37"/>
      <c r="CL128" s="38"/>
      <c r="CM128" s="36"/>
      <c r="CN128" s="38"/>
      <c r="CO128" s="37"/>
      <c r="CP128" s="38"/>
      <c r="CQ128" s="37"/>
      <c r="CR128" s="38"/>
      <c r="CS128" s="109">
        <v>35</v>
      </c>
      <c r="CT128" s="38"/>
      <c r="CU128" s="66">
        <v>9030</v>
      </c>
      <c r="CV128" s="61">
        <v>9100</v>
      </c>
      <c r="CW128" s="35"/>
      <c r="CX128" s="68">
        <v>34335</v>
      </c>
      <c r="CY128" s="5" t="s">
        <v>934</v>
      </c>
      <c r="CZ128" s="35"/>
      <c r="DA128" s="58">
        <v>8.9999999999999993E-3</v>
      </c>
      <c r="DB128" s="69">
        <v>200</v>
      </c>
      <c r="DC128" s="60"/>
      <c r="DD128" s="69"/>
      <c r="DE128" s="60"/>
      <c r="DF128" s="70">
        <v>53</v>
      </c>
      <c r="DG128" s="70"/>
      <c r="DH128" s="71"/>
      <c r="DI128" s="64"/>
      <c r="DJ128" s="35">
        <v>400</v>
      </c>
      <c r="DK128" s="61">
        <v>8600</v>
      </c>
      <c r="DL128" s="61">
        <v>8900</v>
      </c>
      <c r="DM128" s="72"/>
      <c r="DN128" s="64"/>
      <c r="DO128" s="72"/>
      <c r="DP128" s="64"/>
      <c r="DQ128" s="72"/>
      <c r="DR128" s="64"/>
      <c r="DS128" s="116">
        <v>1.2</v>
      </c>
      <c r="DT128" s="36" t="s">
        <v>541</v>
      </c>
      <c r="DU128" s="66"/>
      <c r="DV128" s="62">
        <v>8600</v>
      </c>
      <c r="DW128" s="62"/>
      <c r="DX128" s="115">
        <v>34669</v>
      </c>
      <c r="DY128" s="4"/>
      <c r="DZ128" s="74" t="s">
        <v>935</v>
      </c>
      <c r="EA128" s="241" t="s">
        <v>936</v>
      </c>
    </row>
    <row r="129" spans="1:131" ht="23.15" x14ac:dyDescent="0.4">
      <c r="A129" s="4" t="s">
        <v>83</v>
      </c>
      <c r="B129" s="5" t="s">
        <v>270</v>
      </c>
      <c r="C129" s="8">
        <v>49.815713000000002</v>
      </c>
      <c r="D129" s="8">
        <v>12.119527</v>
      </c>
      <c r="E129" s="7" t="s">
        <v>258</v>
      </c>
      <c r="F129" s="5" t="s">
        <v>271</v>
      </c>
      <c r="G129" s="7"/>
      <c r="H129" s="4"/>
      <c r="I129" s="185"/>
      <c r="J129" s="53"/>
      <c r="K129" s="36"/>
      <c r="L129" s="38"/>
      <c r="M129" s="54"/>
      <c r="N129" s="55">
        <v>0.03</v>
      </c>
      <c r="O129" s="56">
        <v>0.03</v>
      </c>
      <c r="P129" s="59">
        <v>1.0000000000000001E-17</v>
      </c>
      <c r="Q129" s="59">
        <v>2E-16</v>
      </c>
      <c r="R129" s="60">
        <f>AVERAGE(P129,Q129)</f>
        <v>1.0499999999999999E-16</v>
      </c>
      <c r="S129" s="101">
        <v>90</v>
      </c>
      <c r="T129" s="103">
        <v>95</v>
      </c>
      <c r="U129" s="102">
        <v>95</v>
      </c>
      <c r="V129" s="103">
        <v>0.27</v>
      </c>
      <c r="W129" s="103">
        <v>0.28000000000000003</v>
      </c>
      <c r="X129" s="102">
        <f>AVERAGE(V129,W129)</f>
        <v>0.27500000000000002</v>
      </c>
      <c r="Y129" s="54">
        <f>S129/(3*(1-2*V129))</f>
        <v>65.217391304347828</v>
      </c>
      <c r="Z129" s="56">
        <f>T129/(3*(1-2*W129))</f>
        <v>71.969696969696983</v>
      </c>
      <c r="AA129" s="54">
        <f>S129/(2*(1+V129))</f>
        <v>35.433070866141733</v>
      </c>
      <c r="AB129" s="56">
        <f>T129/(2*(1+W129))</f>
        <v>37.109375</v>
      </c>
      <c r="AC129" s="101"/>
      <c r="AD129" s="102"/>
      <c r="AE129" s="54"/>
      <c r="AF129" s="56"/>
      <c r="AG129" s="55"/>
      <c r="AH129" s="56"/>
      <c r="AI129" s="101">
        <v>209.5</v>
      </c>
      <c r="AJ129" s="56"/>
      <c r="AK129" s="55"/>
      <c r="AL129" s="56"/>
      <c r="AM129" s="54"/>
      <c r="AN129" s="56"/>
      <c r="AO129" s="57">
        <v>6.3E-5</v>
      </c>
      <c r="AP129" s="60"/>
      <c r="AQ129" s="61"/>
      <c r="AR129" s="62"/>
      <c r="AS129" s="38"/>
      <c r="AT129" s="106">
        <v>2.8000000000000001E-2</v>
      </c>
      <c r="AU129" s="107">
        <v>0</v>
      </c>
      <c r="AV129" s="64">
        <f>PRODUCT(AT129,CU129)</f>
        <v>112</v>
      </c>
      <c r="AW129" s="53"/>
      <c r="AX129" s="108">
        <v>4.9000000000000002E-2</v>
      </c>
      <c r="AY129" s="107">
        <v>-36.5</v>
      </c>
      <c r="AZ129" s="64">
        <f>PRODUCT(AX129,CU129)+AY129</f>
        <v>159.5</v>
      </c>
      <c r="BA129" s="53"/>
      <c r="BB129" s="108">
        <v>2.2100000000000002E-2</v>
      </c>
      <c r="BC129" s="107">
        <v>-19.349</v>
      </c>
      <c r="BD129" s="64">
        <f>PRODUCT(BB129,CU129)+BC129</f>
        <v>69.051000000000002</v>
      </c>
      <c r="BE129" s="53"/>
      <c r="BF129" s="99" t="s">
        <v>640</v>
      </c>
      <c r="BG129" s="100" t="s">
        <v>639</v>
      </c>
      <c r="BH129" s="106">
        <v>1.0500000000000001E-2</v>
      </c>
      <c r="BI129" s="107">
        <v>0</v>
      </c>
      <c r="BJ129" s="64">
        <f>PRODUCT(BH129,CU129)</f>
        <v>42</v>
      </c>
      <c r="BK129" s="53"/>
      <c r="BL129" s="110">
        <v>110</v>
      </c>
      <c r="BM129" s="62"/>
      <c r="BN129" s="37"/>
      <c r="BO129" s="38"/>
      <c r="BP129" s="36"/>
      <c r="BQ129" s="38"/>
      <c r="BR129" s="37"/>
      <c r="BS129" s="38"/>
      <c r="BT129" s="35"/>
      <c r="BU129" s="38"/>
      <c r="BV129" s="66"/>
      <c r="BW129" s="62"/>
      <c r="BX129" s="66"/>
      <c r="BY129" s="62"/>
      <c r="BZ129" s="67"/>
      <c r="CA129" s="61"/>
      <c r="CB129" s="62"/>
      <c r="CC129" s="37"/>
      <c r="CD129" s="38"/>
      <c r="CE129" s="64"/>
      <c r="CF129" s="53"/>
      <c r="CG129" s="37"/>
      <c r="CH129" s="38"/>
      <c r="CI129" s="36"/>
      <c r="CJ129" s="38"/>
      <c r="CK129" s="37"/>
      <c r="CL129" s="38"/>
      <c r="CM129" s="36"/>
      <c r="CN129" s="38"/>
      <c r="CO129" s="37"/>
      <c r="CP129" s="38"/>
      <c r="CQ129" s="37"/>
      <c r="CR129" s="38"/>
      <c r="CS129" s="109">
        <v>35</v>
      </c>
      <c r="CT129" s="38"/>
      <c r="CU129" s="66">
        <v>4000</v>
      </c>
      <c r="CV129" s="61"/>
      <c r="CW129" s="35"/>
      <c r="CX129" s="68">
        <v>38139</v>
      </c>
      <c r="CY129" s="5" t="s">
        <v>937</v>
      </c>
      <c r="CZ129" s="35"/>
      <c r="DA129" s="60">
        <v>3.3300000000000001E-3</v>
      </c>
      <c r="DB129" s="69">
        <v>84600</v>
      </c>
      <c r="DC129" s="60"/>
      <c r="DD129" s="69"/>
      <c r="DE129" s="60"/>
      <c r="DF129" s="70">
        <v>12.7</v>
      </c>
      <c r="DG129" s="70"/>
      <c r="DH129" s="71">
        <v>38231</v>
      </c>
      <c r="DI129" s="64"/>
      <c r="DJ129" s="35">
        <v>3000</v>
      </c>
      <c r="DK129" s="61">
        <v>4000</v>
      </c>
      <c r="DL129" s="61"/>
      <c r="DM129" s="72"/>
      <c r="DN129" s="64"/>
      <c r="DO129" s="72"/>
      <c r="DP129" s="64">
        <v>1</v>
      </c>
      <c r="DQ129" s="72"/>
      <c r="DR129" s="64"/>
      <c r="DS129" s="70">
        <v>0.7</v>
      </c>
      <c r="DT129" s="36" t="s">
        <v>581</v>
      </c>
      <c r="DU129" s="66"/>
      <c r="DV129" s="62"/>
      <c r="DW129" s="62"/>
      <c r="DX129" s="73"/>
      <c r="DY129" s="114"/>
      <c r="DZ129" s="74" t="s">
        <v>938</v>
      </c>
      <c r="EA129" s="244" t="s">
        <v>939</v>
      </c>
    </row>
    <row r="130" spans="1:131" ht="23.15" x14ac:dyDescent="0.4">
      <c r="A130" s="4" t="s">
        <v>83</v>
      </c>
      <c r="B130" s="5" t="s">
        <v>270</v>
      </c>
      <c r="C130" s="8">
        <v>49.815713000000002</v>
      </c>
      <c r="D130" s="8">
        <v>12.119527</v>
      </c>
      <c r="E130" s="7" t="s">
        <v>258</v>
      </c>
      <c r="F130" s="5" t="s">
        <v>271</v>
      </c>
      <c r="G130" s="7"/>
      <c r="H130" s="4" t="s">
        <v>85</v>
      </c>
      <c r="I130" s="52"/>
      <c r="J130" s="53"/>
      <c r="K130" s="36"/>
      <c r="L130" s="38"/>
      <c r="M130" s="54"/>
      <c r="N130" s="55">
        <v>0.05</v>
      </c>
      <c r="O130" s="56">
        <v>0.05</v>
      </c>
      <c r="P130" s="59">
        <v>1.0000000000000001E-17</v>
      </c>
      <c r="Q130" s="59">
        <v>2E-16</v>
      </c>
      <c r="R130" s="60">
        <f>AVERAGE(P130,Q130)</f>
        <v>1.0499999999999999E-16</v>
      </c>
      <c r="S130" s="101">
        <v>79</v>
      </c>
      <c r="T130" s="103">
        <v>100</v>
      </c>
      <c r="U130" s="102">
        <f>AVERAGE(S130,T130)</f>
        <v>89.5</v>
      </c>
      <c r="V130" s="103">
        <v>0.23</v>
      </c>
      <c r="W130" s="103">
        <v>0.28999999999999998</v>
      </c>
      <c r="X130" s="102">
        <v>0.26</v>
      </c>
      <c r="Y130" s="54">
        <f>S130/(3*(1-2*V130))</f>
        <v>48.76543209876543</v>
      </c>
      <c r="Z130" s="56">
        <f>T130/(3*(1-2*W130))</f>
        <v>79.365079365079353</v>
      </c>
      <c r="AA130" s="54">
        <f>S130/(2*(1+V130))</f>
        <v>32.113821138211385</v>
      </c>
      <c r="AB130" s="56">
        <f>T130/(2*(1+W130))</f>
        <v>38.759689922480618</v>
      </c>
      <c r="AC130" s="101"/>
      <c r="AD130" s="102"/>
      <c r="AE130" s="54"/>
      <c r="AF130" s="56"/>
      <c r="AG130" s="55"/>
      <c r="AH130" s="56"/>
      <c r="AI130" s="101">
        <v>209.5</v>
      </c>
      <c r="AJ130" s="56"/>
      <c r="AK130" s="55"/>
      <c r="AL130" s="56"/>
      <c r="AM130" s="54"/>
      <c r="AN130" s="56"/>
      <c r="AO130" s="57">
        <v>6.3E-5</v>
      </c>
      <c r="AP130" s="58">
        <v>7.4999999999999993E-5</v>
      </c>
      <c r="AQ130" s="61"/>
      <c r="AR130" s="62"/>
      <c r="AS130" s="38"/>
      <c r="AT130" s="106">
        <v>2.8000000000000001E-2</v>
      </c>
      <c r="AU130" s="107">
        <v>0</v>
      </c>
      <c r="AV130" s="64">
        <f>PRODUCT(AT130,CU130)</f>
        <v>84</v>
      </c>
      <c r="AW130" s="53">
        <f>PRODUCT(AT130,CV130)</f>
        <v>168</v>
      </c>
      <c r="AX130" s="108">
        <v>4.9000000000000002E-2</v>
      </c>
      <c r="AY130" s="107">
        <v>-36.5</v>
      </c>
      <c r="AZ130" s="64">
        <f>PRODUCT(AX130,CU130)+AY130</f>
        <v>110.5</v>
      </c>
      <c r="BA130" s="53">
        <f>PRODUCT(AX130,CV130)+AY130</f>
        <v>257.5</v>
      </c>
      <c r="BB130" s="106">
        <v>2.2100000000000002E-2</v>
      </c>
      <c r="BC130" s="107">
        <v>-19.349</v>
      </c>
      <c r="BD130" s="64">
        <f>PRODUCT(BB130,CU130)+BC130</f>
        <v>46.951000000000008</v>
      </c>
      <c r="BE130" s="53">
        <f>PRODUCT(BB130,CV130)+BC130</f>
        <v>113.25100000000002</v>
      </c>
      <c r="BF130" s="99" t="s">
        <v>640</v>
      </c>
      <c r="BG130" s="100" t="s">
        <v>639</v>
      </c>
      <c r="BH130" s="106">
        <v>1.0500000000000001E-2</v>
      </c>
      <c r="BI130" s="107">
        <v>0</v>
      </c>
      <c r="BJ130" s="64">
        <f>PRODUCT(BH130,CU130)</f>
        <v>31.500000000000004</v>
      </c>
      <c r="BK130" s="53">
        <f>PRODUCT(BH130,CV130)</f>
        <v>63.000000000000007</v>
      </c>
      <c r="BL130" s="110">
        <v>82</v>
      </c>
      <c r="BM130" s="105">
        <v>165</v>
      </c>
      <c r="BN130" s="37"/>
      <c r="BO130" s="38"/>
      <c r="BP130" s="36"/>
      <c r="BQ130" s="38"/>
      <c r="BR130" s="37"/>
      <c r="BS130" s="38"/>
      <c r="BT130" s="35"/>
      <c r="BU130" s="38"/>
      <c r="BV130" s="66"/>
      <c r="BW130" s="62"/>
      <c r="BX130" s="66"/>
      <c r="BY130" s="62"/>
      <c r="BZ130" s="67"/>
      <c r="CA130" s="61"/>
      <c r="CB130" s="62"/>
      <c r="CC130" s="37"/>
      <c r="CD130" s="38"/>
      <c r="CE130" s="64"/>
      <c r="CF130" s="53"/>
      <c r="CG130" s="37"/>
      <c r="CH130" s="38"/>
      <c r="CI130" s="36"/>
      <c r="CJ130" s="38"/>
      <c r="CK130" s="37"/>
      <c r="CL130" s="38"/>
      <c r="CM130" s="36"/>
      <c r="CN130" s="38"/>
      <c r="CO130" s="37"/>
      <c r="CP130" s="38"/>
      <c r="CQ130" s="37"/>
      <c r="CR130" s="38"/>
      <c r="CS130" s="109">
        <v>35</v>
      </c>
      <c r="CT130" s="38"/>
      <c r="CU130" s="66">
        <v>3000</v>
      </c>
      <c r="CV130" s="61">
        <v>6000</v>
      </c>
      <c r="CW130" s="35"/>
      <c r="CX130" s="68">
        <v>36526</v>
      </c>
      <c r="CY130" s="5" t="s">
        <v>276</v>
      </c>
      <c r="CZ130" s="35"/>
      <c r="DA130" s="60">
        <v>1.1999999999999999E-3</v>
      </c>
      <c r="DB130" s="69">
        <v>4000</v>
      </c>
      <c r="DC130" s="60"/>
      <c r="DD130" s="69"/>
      <c r="DE130" s="60"/>
      <c r="DF130" s="70">
        <v>30</v>
      </c>
      <c r="DG130" s="70"/>
      <c r="DH130" s="71"/>
      <c r="DI130" s="64"/>
      <c r="DJ130" s="35">
        <v>2800</v>
      </c>
      <c r="DK130" s="61">
        <v>3300</v>
      </c>
      <c r="DL130" s="61">
        <v>9000</v>
      </c>
      <c r="DM130" s="72"/>
      <c r="DN130" s="64"/>
      <c r="DO130" s="72"/>
      <c r="DP130" s="129"/>
      <c r="DQ130" s="72"/>
      <c r="DR130" s="64"/>
      <c r="DS130" s="70">
        <v>0.5</v>
      </c>
      <c r="DT130" s="36" t="s">
        <v>581</v>
      </c>
      <c r="DU130" s="66"/>
      <c r="DV130" s="62">
        <v>8500</v>
      </c>
      <c r="DW130" s="62"/>
      <c r="DX130" s="73">
        <v>36526</v>
      </c>
      <c r="DY130" s="4"/>
      <c r="DZ130" s="74" t="s">
        <v>940</v>
      </c>
      <c r="EA130" s="241" t="s">
        <v>941</v>
      </c>
    </row>
    <row r="131" spans="1:131" x14ac:dyDescent="0.4">
      <c r="A131" s="4" t="s">
        <v>83</v>
      </c>
      <c r="B131" s="17" t="s">
        <v>272</v>
      </c>
      <c r="C131" s="8">
        <v>52.382946498835899</v>
      </c>
      <c r="D131" s="6">
        <v>13.064987919858099</v>
      </c>
      <c r="E131" s="7" t="s">
        <v>258</v>
      </c>
      <c r="F131" s="5" t="s">
        <v>273</v>
      </c>
      <c r="G131" s="7" t="s">
        <v>274</v>
      </c>
      <c r="H131" s="21" t="s">
        <v>23</v>
      </c>
      <c r="I131" s="52"/>
      <c r="J131" s="53"/>
      <c r="K131" s="36"/>
      <c r="L131" s="38"/>
      <c r="M131" s="54">
        <v>0.19</v>
      </c>
      <c r="N131" s="55">
        <v>0.25</v>
      </c>
      <c r="O131" s="56">
        <v>0.22</v>
      </c>
      <c r="P131" s="59">
        <v>9.9999999999999998E-13</v>
      </c>
      <c r="Q131" s="59">
        <v>1.5000000000000001E-12</v>
      </c>
      <c r="R131" s="60">
        <f>AVERAGE(P131,Q131)</f>
        <v>1.2500000000000001E-12</v>
      </c>
      <c r="S131" s="54">
        <v>18.38</v>
      </c>
      <c r="T131" s="55"/>
      <c r="U131" s="56">
        <v>18.38</v>
      </c>
      <c r="V131" s="55">
        <v>0.22</v>
      </c>
      <c r="W131" s="55"/>
      <c r="X131" s="56">
        <v>0.22</v>
      </c>
      <c r="Y131" s="54">
        <f>S131/(3*(1-2*V131))</f>
        <v>10.940476190476188</v>
      </c>
      <c r="Z131" s="56"/>
      <c r="AA131" s="54">
        <f>S131/(2*(1+V131))</f>
        <v>7.5327868852459012</v>
      </c>
      <c r="AB131" s="56"/>
      <c r="AC131" s="54"/>
      <c r="AD131" s="56"/>
      <c r="AE131" s="54"/>
      <c r="AF131" s="56"/>
      <c r="AG131" s="55"/>
      <c r="AH131" s="56"/>
      <c r="AI131" s="101"/>
      <c r="AJ131" s="56"/>
      <c r="AK131" s="55"/>
      <c r="AL131" s="56"/>
      <c r="AM131" s="54"/>
      <c r="AN131" s="56"/>
      <c r="AO131" s="59"/>
      <c r="AP131" s="60"/>
      <c r="AQ131" s="61"/>
      <c r="AR131" s="62"/>
      <c r="AS131" s="38"/>
      <c r="AT131" s="106"/>
      <c r="AU131" s="107"/>
      <c r="AV131" s="64">
        <v>35</v>
      </c>
      <c r="AW131" s="53"/>
      <c r="AX131" s="108"/>
      <c r="AY131" s="107"/>
      <c r="AZ131" s="64">
        <v>35</v>
      </c>
      <c r="BA131" s="53"/>
      <c r="BB131" s="106"/>
      <c r="BC131" s="107"/>
      <c r="BD131" s="64">
        <v>35</v>
      </c>
      <c r="BE131" s="53"/>
      <c r="BF131" s="99"/>
      <c r="BG131" s="100"/>
      <c r="BH131" s="106"/>
      <c r="BI131" s="107"/>
      <c r="BJ131" s="64">
        <v>5</v>
      </c>
      <c r="BK131" s="53"/>
      <c r="BL131" s="66"/>
      <c r="BM131" s="62"/>
      <c r="BN131" s="37"/>
      <c r="BO131" s="38"/>
      <c r="BP131" s="36"/>
      <c r="BQ131" s="38"/>
      <c r="BR131" s="37"/>
      <c r="BS131" s="38"/>
      <c r="BT131" s="35"/>
      <c r="BU131" s="38"/>
      <c r="BV131" s="66"/>
      <c r="BW131" s="62"/>
      <c r="BX131" s="66"/>
      <c r="BY131" s="62"/>
      <c r="BZ131" s="67"/>
      <c r="CA131" s="61"/>
      <c r="CB131" s="62"/>
      <c r="CC131" s="37"/>
      <c r="CD131" s="38"/>
      <c r="CE131" s="64"/>
      <c r="CF131" s="53"/>
      <c r="CG131" s="112"/>
      <c r="CH131" s="58"/>
      <c r="CI131" s="36"/>
      <c r="CJ131" s="38"/>
      <c r="CK131" s="37"/>
      <c r="CL131" s="38"/>
      <c r="CM131" s="36"/>
      <c r="CN131" s="38"/>
      <c r="CO131" s="37"/>
      <c r="CP131" s="38"/>
      <c r="CQ131" s="37"/>
      <c r="CR131" s="38"/>
      <c r="CS131" s="109"/>
      <c r="CT131" s="38"/>
      <c r="CU131" s="66"/>
      <c r="CV131" s="61"/>
      <c r="CW131" s="35"/>
      <c r="CX131" s="68"/>
      <c r="CY131" s="37" t="s">
        <v>919</v>
      </c>
      <c r="CZ131" s="35"/>
      <c r="DA131" s="58">
        <v>3.3000000000000002E-9</v>
      </c>
      <c r="DB131" s="69">
        <v>5.0000000000000004E-6</v>
      </c>
      <c r="DC131" s="60"/>
      <c r="DD131" s="69"/>
      <c r="DE131" s="60"/>
      <c r="DF131" s="70">
        <v>29</v>
      </c>
      <c r="DG131" s="70"/>
      <c r="DH131" s="71"/>
      <c r="DI131" s="64"/>
      <c r="DJ131" s="35" t="s">
        <v>942</v>
      </c>
      <c r="DK131" s="61"/>
      <c r="DL131" s="61"/>
      <c r="DM131" s="72"/>
      <c r="DN131" s="64"/>
      <c r="DO131" s="72"/>
      <c r="DP131" s="64">
        <v>1.7</v>
      </c>
      <c r="DQ131" s="72"/>
      <c r="DR131" s="64"/>
      <c r="DS131" s="116">
        <v>-7</v>
      </c>
      <c r="DT131" s="36" t="s">
        <v>541</v>
      </c>
      <c r="DU131" s="66"/>
      <c r="DV131" s="62"/>
      <c r="DW131" s="62"/>
      <c r="DX131" s="177">
        <v>36526</v>
      </c>
      <c r="DY131" s="4"/>
      <c r="DZ131" s="74"/>
      <c r="EA131" s="241" t="s">
        <v>943</v>
      </c>
    </row>
    <row r="132" spans="1:131" x14ac:dyDescent="0.4">
      <c r="A132" s="4" t="s">
        <v>117</v>
      </c>
      <c r="B132" s="5" t="s">
        <v>275</v>
      </c>
      <c r="C132" s="8">
        <v>36.566223999999998</v>
      </c>
      <c r="D132" s="8">
        <v>138.208733</v>
      </c>
      <c r="E132" s="7" t="s">
        <v>258</v>
      </c>
      <c r="F132" s="5" t="s">
        <v>276</v>
      </c>
      <c r="G132" s="7"/>
      <c r="H132" s="4" t="s">
        <v>277</v>
      </c>
      <c r="I132" s="52" t="s">
        <v>732</v>
      </c>
      <c r="J132" s="53"/>
      <c r="K132" s="36" t="s">
        <v>732</v>
      </c>
      <c r="L132" s="38"/>
      <c r="M132" s="54"/>
      <c r="N132" s="55"/>
      <c r="O132" s="56"/>
      <c r="P132" s="36"/>
      <c r="Q132" s="36"/>
      <c r="R132" s="38"/>
      <c r="S132" s="54"/>
      <c r="T132" s="55"/>
      <c r="U132" s="56"/>
      <c r="V132" s="55"/>
      <c r="W132" s="55"/>
      <c r="X132" s="56"/>
      <c r="Y132" s="54"/>
      <c r="Z132" s="56"/>
      <c r="AA132" s="54"/>
      <c r="AB132" s="56"/>
      <c r="AC132" s="54"/>
      <c r="AD132" s="56"/>
      <c r="AE132" s="54"/>
      <c r="AF132" s="56"/>
      <c r="AG132" s="55"/>
      <c r="AH132" s="56"/>
      <c r="AI132" s="54"/>
      <c r="AJ132" s="56"/>
      <c r="AK132" s="55"/>
      <c r="AL132" s="56"/>
      <c r="AM132" s="54"/>
      <c r="AN132" s="56"/>
      <c r="AO132" s="59"/>
      <c r="AP132" s="60"/>
      <c r="AQ132" s="61"/>
      <c r="AR132" s="62"/>
      <c r="AS132" s="38"/>
      <c r="AT132" s="63"/>
      <c r="AU132" s="64"/>
      <c r="AV132" s="64"/>
      <c r="AW132" s="53"/>
      <c r="AX132" s="65"/>
      <c r="AY132" s="64"/>
      <c r="AZ132" s="64"/>
      <c r="BA132" s="53"/>
      <c r="BB132" s="63"/>
      <c r="BC132" s="64"/>
      <c r="BD132" s="64"/>
      <c r="BE132" s="53"/>
      <c r="BF132" s="36"/>
      <c r="BG132" s="38"/>
      <c r="BH132" s="63"/>
      <c r="BI132" s="64"/>
      <c r="BJ132" s="64"/>
      <c r="BK132" s="53"/>
      <c r="BL132" s="66"/>
      <c r="BM132" s="62"/>
      <c r="BN132" s="37"/>
      <c r="BO132" s="38" t="s">
        <v>944</v>
      </c>
      <c r="BP132" s="36"/>
      <c r="BQ132" s="38"/>
      <c r="BR132" s="37" t="s">
        <v>800</v>
      </c>
      <c r="BS132" s="38"/>
      <c r="BT132" s="35" t="s">
        <v>945</v>
      </c>
      <c r="BU132" s="38" t="s">
        <v>535</v>
      </c>
      <c r="BV132" s="66"/>
      <c r="BW132" s="62"/>
      <c r="BX132" s="66"/>
      <c r="BY132" s="62"/>
      <c r="BZ132" s="67"/>
      <c r="CA132" s="61">
        <v>600</v>
      </c>
      <c r="CB132" s="62"/>
      <c r="CC132" s="37"/>
      <c r="CD132" s="38"/>
      <c r="CE132" s="64">
        <v>0.01</v>
      </c>
      <c r="CF132" s="53">
        <v>0.1</v>
      </c>
      <c r="CG132" s="69">
        <v>1E-14</v>
      </c>
      <c r="CH132" s="60">
        <v>1E-13</v>
      </c>
      <c r="CI132" s="36"/>
      <c r="CJ132" s="38"/>
      <c r="CK132" s="37"/>
      <c r="CL132" s="38"/>
      <c r="CM132" s="36"/>
      <c r="CN132" s="38"/>
      <c r="CO132" s="37"/>
      <c r="CP132" s="38"/>
      <c r="CQ132" s="37"/>
      <c r="CR132" s="38"/>
      <c r="CS132" s="37"/>
      <c r="CT132" s="38"/>
      <c r="CU132" s="66">
        <v>1072</v>
      </c>
      <c r="CV132" s="61">
        <v>1800</v>
      </c>
      <c r="CW132" s="35" t="s">
        <v>922</v>
      </c>
      <c r="CX132" s="68">
        <v>25583</v>
      </c>
      <c r="CY132" s="37" t="s">
        <v>946</v>
      </c>
      <c r="CZ132" s="35"/>
      <c r="DA132" s="60">
        <v>5.0000000000000001E-3</v>
      </c>
      <c r="DB132" s="69">
        <v>2883</v>
      </c>
      <c r="DC132" s="60"/>
      <c r="DD132" s="69"/>
      <c r="DE132" s="60">
        <v>2883</v>
      </c>
      <c r="DF132" s="70">
        <v>5</v>
      </c>
      <c r="DG132" s="70"/>
      <c r="DH132" s="71">
        <v>25593</v>
      </c>
      <c r="DI132" s="64"/>
      <c r="DJ132" s="35" t="s">
        <v>947</v>
      </c>
      <c r="DK132" s="61">
        <v>2000</v>
      </c>
      <c r="DL132" s="61">
        <v>8000</v>
      </c>
      <c r="DM132" s="72"/>
      <c r="DN132" s="64"/>
      <c r="DO132" s="72"/>
      <c r="DP132" s="64"/>
      <c r="DQ132" s="72"/>
      <c r="DR132" s="64"/>
      <c r="DS132" s="70">
        <v>2.8</v>
      </c>
      <c r="DT132" s="36"/>
      <c r="DU132" s="66"/>
      <c r="DV132" s="62"/>
      <c r="DW132" s="62">
        <v>3000</v>
      </c>
      <c r="DX132" s="73">
        <v>25593</v>
      </c>
      <c r="DY132" s="4" t="s">
        <v>948</v>
      </c>
      <c r="DZ132" s="74" t="s">
        <v>949</v>
      </c>
      <c r="EA132" s="241" t="s">
        <v>950</v>
      </c>
    </row>
    <row r="133" spans="1:131" x14ac:dyDescent="0.4">
      <c r="A133" s="4" t="s">
        <v>117</v>
      </c>
      <c r="B133" s="5" t="s">
        <v>278</v>
      </c>
      <c r="C133" s="8">
        <v>34.535300999999997</v>
      </c>
      <c r="D133" s="8">
        <v>134.93699899999999</v>
      </c>
      <c r="E133" s="7" t="s">
        <v>258</v>
      </c>
      <c r="F133" s="5" t="s">
        <v>262</v>
      </c>
      <c r="G133" s="7"/>
      <c r="H133" s="4"/>
      <c r="I133" s="52"/>
      <c r="J133" s="53"/>
      <c r="K133" s="36"/>
      <c r="L133" s="38"/>
      <c r="M133" s="54"/>
      <c r="N133" s="55"/>
      <c r="O133" s="56"/>
      <c r="P133" s="36"/>
      <c r="Q133" s="36"/>
      <c r="R133" s="38"/>
      <c r="S133" s="54"/>
      <c r="T133" s="55"/>
      <c r="U133" s="56"/>
      <c r="V133" s="55"/>
      <c r="W133" s="55"/>
      <c r="X133" s="56"/>
      <c r="Y133" s="54"/>
      <c r="Z133" s="56"/>
      <c r="AA133" s="54"/>
      <c r="AB133" s="56"/>
      <c r="AC133" s="54"/>
      <c r="AD133" s="56"/>
      <c r="AE133" s="54"/>
      <c r="AF133" s="56"/>
      <c r="AG133" s="55"/>
      <c r="AH133" s="56"/>
      <c r="AI133" s="54"/>
      <c r="AJ133" s="56"/>
      <c r="AK133" s="55"/>
      <c r="AL133" s="56"/>
      <c r="AM133" s="54"/>
      <c r="AN133" s="56"/>
      <c r="AO133" s="59"/>
      <c r="AP133" s="60"/>
      <c r="AQ133" s="61"/>
      <c r="AR133" s="62"/>
      <c r="AS133" s="38" t="s">
        <v>535</v>
      </c>
      <c r="AT133" s="63">
        <v>2.5000000000000001E-2</v>
      </c>
      <c r="AU133" s="64">
        <v>0</v>
      </c>
      <c r="AV133" s="64">
        <f>AT133*CU133+AU133</f>
        <v>37</v>
      </c>
      <c r="AW133" s="53">
        <f>AT133*CV133+AU133</f>
        <v>41.75</v>
      </c>
      <c r="AX133" s="65">
        <v>0.03</v>
      </c>
      <c r="AY133" s="64">
        <v>0</v>
      </c>
      <c r="AZ133" s="64">
        <f>AX133*CU133+AY133</f>
        <v>44.4</v>
      </c>
      <c r="BA133" s="53">
        <f>AX133*CV133+AY133</f>
        <v>50.1</v>
      </c>
      <c r="BB133" s="63">
        <f>32/1500</f>
        <v>2.1333333333333333E-2</v>
      </c>
      <c r="BC133" s="64">
        <v>0</v>
      </c>
      <c r="BD133" s="64">
        <f>BB133*CU133+BC133</f>
        <v>31.573333333333331</v>
      </c>
      <c r="BE133" s="53">
        <f>BB133*CV133+BC133</f>
        <v>35.626666666666665</v>
      </c>
      <c r="BF133" s="36"/>
      <c r="BG133" s="38"/>
      <c r="BH133" s="63">
        <v>0.01</v>
      </c>
      <c r="BI133" s="64">
        <v>0</v>
      </c>
      <c r="BJ133" s="64">
        <f>BH133*CU133+BI133</f>
        <v>14.8</v>
      </c>
      <c r="BK133" s="53">
        <f>BH133*CV133+BI133</f>
        <v>16.7</v>
      </c>
      <c r="BL133" s="66"/>
      <c r="BM133" s="62"/>
      <c r="BN133" s="37"/>
      <c r="BO133" s="38"/>
      <c r="BP133" s="36"/>
      <c r="BQ133" s="38"/>
      <c r="BR133" s="37"/>
      <c r="BS133" s="38"/>
      <c r="BT133" s="35" t="s">
        <v>951</v>
      </c>
      <c r="BU133" s="38" t="s">
        <v>535</v>
      </c>
      <c r="BV133" s="66"/>
      <c r="BW133" s="62"/>
      <c r="BX133" s="66"/>
      <c r="BY133" s="62"/>
      <c r="BZ133" s="67"/>
      <c r="CA133" s="61"/>
      <c r="CB133" s="62"/>
      <c r="CC133" s="37">
        <v>2400</v>
      </c>
      <c r="CD133" s="38">
        <v>2600</v>
      </c>
      <c r="CE133" s="64"/>
      <c r="CF133" s="53">
        <v>4.0000000000000001E-3</v>
      </c>
      <c r="CG133" s="69">
        <v>1.0000000000000001E-15</v>
      </c>
      <c r="CH133" s="60">
        <v>1E-14</v>
      </c>
      <c r="CI133" s="36"/>
      <c r="CJ133" s="38"/>
      <c r="CK133" s="37"/>
      <c r="CL133" s="38"/>
      <c r="CM133" s="36"/>
      <c r="CN133" s="38"/>
      <c r="CO133" s="37"/>
      <c r="CP133" s="38"/>
      <c r="CQ133" s="37"/>
      <c r="CR133" s="38"/>
      <c r="CS133" s="37"/>
      <c r="CT133" s="38">
        <v>17</v>
      </c>
      <c r="CU133" s="66">
        <v>1480</v>
      </c>
      <c r="CV133" s="61">
        <v>1670</v>
      </c>
      <c r="CW133" s="35" t="s">
        <v>922</v>
      </c>
      <c r="CX133" s="68">
        <v>35470</v>
      </c>
      <c r="CY133" s="37" t="s">
        <v>603</v>
      </c>
      <c r="CZ133" s="35"/>
      <c r="DA133" s="60">
        <v>3.3E-4</v>
      </c>
      <c r="DB133" s="69">
        <v>258</v>
      </c>
      <c r="DC133" s="60"/>
      <c r="DD133" s="69"/>
      <c r="DE133" s="60">
        <v>2883</v>
      </c>
      <c r="DF133" s="70">
        <v>4.7</v>
      </c>
      <c r="DG133" s="70"/>
      <c r="DH133" s="71">
        <v>35474</v>
      </c>
      <c r="DI133" s="64">
        <v>4.5</v>
      </c>
      <c r="DJ133" s="35" t="s">
        <v>952</v>
      </c>
      <c r="DK133" s="61">
        <v>2000</v>
      </c>
      <c r="DL133" s="61">
        <v>4000</v>
      </c>
      <c r="DM133" s="72"/>
      <c r="DN133" s="64"/>
      <c r="DO133" s="72"/>
      <c r="DP133" s="64"/>
      <c r="DQ133" s="72"/>
      <c r="DR133" s="64"/>
      <c r="DS133" s="70">
        <v>1</v>
      </c>
      <c r="DT133" s="36"/>
      <c r="DU133" s="66"/>
      <c r="DV133" s="62"/>
      <c r="DW133" s="62">
        <v>3000</v>
      </c>
      <c r="DX133" s="73">
        <v>35431</v>
      </c>
      <c r="DY133" s="4" t="s">
        <v>953</v>
      </c>
      <c r="DZ133" s="74" t="s">
        <v>949</v>
      </c>
      <c r="EA133" s="241" t="s">
        <v>954</v>
      </c>
    </row>
    <row r="134" spans="1:131" x14ac:dyDescent="0.4">
      <c r="A134" s="4" t="s">
        <v>279</v>
      </c>
      <c r="B134" s="5" t="s">
        <v>280</v>
      </c>
      <c r="C134" s="8">
        <v>11.173018000000001</v>
      </c>
      <c r="D134" s="8">
        <v>124.630005</v>
      </c>
      <c r="E134" s="7" t="s">
        <v>258</v>
      </c>
      <c r="F134" s="5" t="s">
        <v>262</v>
      </c>
      <c r="G134" s="7" t="s">
        <v>281</v>
      </c>
      <c r="H134" s="4" t="s">
        <v>282</v>
      </c>
      <c r="I134" s="52" t="s">
        <v>732</v>
      </c>
      <c r="J134" s="53"/>
      <c r="K134" s="36"/>
      <c r="L134" s="38"/>
      <c r="M134" s="54"/>
      <c r="N134" s="55"/>
      <c r="O134" s="56">
        <v>0.06</v>
      </c>
      <c r="P134" s="36"/>
      <c r="Q134" s="36"/>
      <c r="R134" s="38"/>
      <c r="S134" s="54"/>
      <c r="T134" s="55"/>
      <c r="U134" s="56"/>
      <c r="V134" s="55"/>
      <c r="W134" s="55"/>
      <c r="X134" s="56"/>
      <c r="Y134" s="54"/>
      <c r="Z134" s="56"/>
      <c r="AA134" s="54"/>
      <c r="AB134" s="56"/>
      <c r="AC134" s="54"/>
      <c r="AD134" s="56"/>
      <c r="AE134" s="54"/>
      <c r="AF134" s="56"/>
      <c r="AG134" s="55"/>
      <c r="AH134" s="56"/>
      <c r="AI134" s="54"/>
      <c r="AJ134" s="56"/>
      <c r="AK134" s="55"/>
      <c r="AL134" s="56"/>
      <c r="AM134" s="54"/>
      <c r="AN134" s="56"/>
      <c r="AO134" s="59"/>
      <c r="AP134" s="60"/>
      <c r="AQ134" s="61"/>
      <c r="AR134" s="62"/>
      <c r="AS134" s="38"/>
      <c r="AT134" s="63"/>
      <c r="AU134" s="64"/>
      <c r="AV134" s="64"/>
      <c r="AW134" s="53"/>
      <c r="AX134" s="65"/>
      <c r="AY134" s="64"/>
      <c r="AZ134" s="64"/>
      <c r="BA134" s="53"/>
      <c r="BB134" s="63"/>
      <c r="BC134" s="64"/>
      <c r="BD134" s="64"/>
      <c r="BE134" s="53"/>
      <c r="BF134" s="36"/>
      <c r="BG134" s="38"/>
      <c r="BH134" s="63"/>
      <c r="BI134" s="64"/>
      <c r="BJ134" s="64"/>
      <c r="BK134" s="53"/>
      <c r="BL134" s="66"/>
      <c r="BM134" s="62"/>
      <c r="BN134" s="37"/>
      <c r="BO134" s="38" t="s">
        <v>955</v>
      </c>
      <c r="BP134" s="36"/>
      <c r="BQ134" s="38">
        <v>90</v>
      </c>
      <c r="BR134" s="37"/>
      <c r="BS134" s="38"/>
      <c r="BT134" s="35" t="s">
        <v>956</v>
      </c>
      <c r="BU134" s="38" t="s">
        <v>535</v>
      </c>
      <c r="BV134" s="66"/>
      <c r="BW134" s="62"/>
      <c r="BX134" s="66"/>
      <c r="BY134" s="62"/>
      <c r="BZ134" s="67">
        <v>0</v>
      </c>
      <c r="CA134" s="61"/>
      <c r="CB134" s="62">
        <v>1980</v>
      </c>
      <c r="CC134" s="37"/>
      <c r="CD134" s="38"/>
      <c r="CE134" s="64"/>
      <c r="CF134" s="53"/>
      <c r="CG134" s="37"/>
      <c r="CH134" s="38"/>
      <c r="CI134" s="36"/>
      <c r="CJ134" s="38"/>
      <c r="CK134" s="37"/>
      <c r="CL134" s="38"/>
      <c r="CM134" s="36"/>
      <c r="CN134" s="38"/>
      <c r="CO134" s="37"/>
      <c r="CP134" s="38"/>
      <c r="CQ134" s="37"/>
      <c r="CR134" s="38"/>
      <c r="CS134" s="37"/>
      <c r="CT134" s="38"/>
      <c r="CU134" s="66">
        <v>1308</v>
      </c>
      <c r="CV134" s="61">
        <v>2177</v>
      </c>
      <c r="CW134" s="35" t="s">
        <v>957</v>
      </c>
      <c r="CX134" s="68">
        <v>35600</v>
      </c>
      <c r="CY134" s="37" t="s">
        <v>958</v>
      </c>
      <c r="CZ134" s="35">
        <v>25</v>
      </c>
      <c r="DA134" s="60">
        <v>5.2999999999999999E-2</v>
      </c>
      <c r="DB134" s="69">
        <v>36000</v>
      </c>
      <c r="DC134" s="60"/>
      <c r="DD134" s="69"/>
      <c r="DE134" s="60">
        <f>DB134</f>
        <v>36000</v>
      </c>
      <c r="DF134" s="70">
        <v>9.5</v>
      </c>
      <c r="DG134" s="70"/>
      <c r="DH134" s="132">
        <v>35600</v>
      </c>
      <c r="DI134" s="64">
        <v>0</v>
      </c>
      <c r="DJ134" s="35" t="s">
        <v>959</v>
      </c>
      <c r="DK134" s="61">
        <v>2000</v>
      </c>
      <c r="DL134" s="61">
        <v>4000</v>
      </c>
      <c r="DM134" s="72"/>
      <c r="DN134" s="64"/>
      <c r="DO134" s="72"/>
      <c r="DP134" s="64"/>
      <c r="DQ134" s="72"/>
      <c r="DR134" s="64"/>
      <c r="DS134" s="70">
        <v>3</v>
      </c>
      <c r="DT134" s="36" t="s">
        <v>960</v>
      </c>
      <c r="DU134" s="66"/>
      <c r="DV134" s="62"/>
      <c r="DW134" s="62"/>
      <c r="DX134" s="73"/>
      <c r="DY134" s="4" t="s">
        <v>961</v>
      </c>
      <c r="DZ134" s="74" t="s">
        <v>962</v>
      </c>
      <c r="EA134" s="241" t="s">
        <v>963</v>
      </c>
    </row>
    <row r="135" spans="1:131" x14ac:dyDescent="0.4">
      <c r="A135" s="4" t="s">
        <v>143</v>
      </c>
      <c r="B135" s="17" t="s">
        <v>283</v>
      </c>
      <c r="C135" s="8">
        <v>57.433485387459598</v>
      </c>
      <c r="D135" s="8">
        <v>16.660076376874098</v>
      </c>
      <c r="E135" s="7" t="s">
        <v>258</v>
      </c>
      <c r="F135" s="5" t="s">
        <v>284</v>
      </c>
      <c r="G135" s="7" t="s">
        <v>285</v>
      </c>
      <c r="H135" s="21" t="s">
        <v>119</v>
      </c>
      <c r="I135" s="52"/>
      <c r="J135" s="53"/>
      <c r="K135" s="36">
        <v>2677</v>
      </c>
      <c r="L135" s="38"/>
      <c r="M135" s="54"/>
      <c r="N135" s="55">
        <v>0.01</v>
      </c>
      <c r="O135" s="56">
        <v>0.01</v>
      </c>
      <c r="P135" s="59"/>
      <c r="Q135" s="59">
        <v>9.9999999999999998E-17</v>
      </c>
      <c r="R135" s="60">
        <v>9.9999999999999998E-17</v>
      </c>
      <c r="S135" s="54">
        <v>55.9</v>
      </c>
      <c r="T135" s="55">
        <v>88.7</v>
      </c>
      <c r="U135" s="102">
        <v>71.7</v>
      </c>
      <c r="V135" s="55">
        <v>0.11</v>
      </c>
      <c r="W135" s="55">
        <v>0.34</v>
      </c>
      <c r="X135" s="102">
        <v>0.25</v>
      </c>
      <c r="Y135" s="54">
        <f>S135/(3*(1-2*V135))</f>
        <v>23.888888888888889</v>
      </c>
      <c r="Z135" s="56">
        <f>T135/(3*(1-2*W135))</f>
        <v>92.395833333333357</v>
      </c>
      <c r="AA135" s="54">
        <f t="shared" ref="AA135:AB137" si="14">S135/(2*(1+V135))</f>
        <v>25.180180180180177</v>
      </c>
      <c r="AB135" s="56">
        <f t="shared" si="14"/>
        <v>33.097014925373131</v>
      </c>
      <c r="AC135" s="54"/>
      <c r="AD135" s="56"/>
      <c r="AE135" s="54">
        <v>59</v>
      </c>
      <c r="AF135" s="56">
        <v>60</v>
      </c>
      <c r="AG135" s="55">
        <v>20</v>
      </c>
      <c r="AH135" s="56">
        <v>28</v>
      </c>
      <c r="AI135" s="101">
        <v>150</v>
      </c>
      <c r="AJ135" s="56">
        <v>240</v>
      </c>
      <c r="AK135" s="55">
        <v>10</v>
      </c>
      <c r="AL135" s="56">
        <v>16</v>
      </c>
      <c r="AM135" s="54">
        <v>2.81</v>
      </c>
      <c r="AN135" s="56">
        <v>3.76</v>
      </c>
      <c r="AO135" s="59"/>
      <c r="AP135" s="60"/>
      <c r="AQ135" s="61"/>
      <c r="AR135" s="62"/>
      <c r="AS135" s="38" t="s">
        <v>577</v>
      </c>
      <c r="AT135" s="106">
        <v>2.1299999999999999E-2</v>
      </c>
      <c r="AU135" s="64">
        <v>0</v>
      </c>
      <c r="AV135" s="64">
        <f>PRODUCT(AT135,CU135)</f>
        <v>8.7330000000000005</v>
      </c>
      <c r="AW135" s="53"/>
      <c r="AX135" s="108">
        <v>5.9499999999999997E-2</v>
      </c>
      <c r="AY135" s="64">
        <v>0</v>
      </c>
      <c r="AZ135" s="64">
        <f>PRODUCT(AX135,CU135)+AY135</f>
        <v>24.395</v>
      </c>
      <c r="BA135" s="53"/>
      <c r="BB135" s="106">
        <v>2.5000000000000001E-2</v>
      </c>
      <c r="BC135" s="64">
        <v>0</v>
      </c>
      <c r="BD135" s="64">
        <f>PRODUCT(BB135,CU135)+BC135</f>
        <v>10.25</v>
      </c>
      <c r="BE135" s="53"/>
      <c r="BF135" s="99" t="s">
        <v>964</v>
      </c>
      <c r="BG135" s="100"/>
      <c r="BH135" s="106">
        <v>0.01</v>
      </c>
      <c r="BI135" s="107">
        <v>0</v>
      </c>
      <c r="BJ135" s="64">
        <f>PRODUCT(BH135,CU135)</f>
        <v>4.0999999999999996</v>
      </c>
      <c r="BK135" s="53"/>
      <c r="BL135" s="66"/>
      <c r="BM135" s="62"/>
      <c r="BN135" s="37"/>
      <c r="BO135" s="38"/>
      <c r="BP135" s="36"/>
      <c r="BQ135" s="38"/>
      <c r="BR135" s="37"/>
      <c r="BS135" s="38"/>
      <c r="BT135" s="35"/>
      <c r="BU135" s="38"/>
      <c r="BV135" s="66"/>
      <c r="BW135" s="62"/>
      <c r="BX135" s="66"/>
      <c r="BY135" s="62"/>
      <c r="BZ135" s="67"/>
      <c r="CA135" s="61"/>
      <c r="CB135" s="62"/>
      <c r="CC135" s="37"/>
      <c r="CD135" s="38"/>
      <c r="CE135" s="64"/>
      <c r="CF135" s="53"/>
      <c r="CG135" s="112"/>
      <c r="CH135" s="58"/>
      <c r="CI135" s="36">
        <v>721</v>
      </c>
      <c r="CJ135" s="38"/>
      <c r="CK135" s="37">
        <v>39</v>
      </c>
      <c r="CL135" s="38"/>
      <c r="CM135" s="36">
        <v>3.4</v>
      </c>
      <c r="CN135" s="38"/>
      <c r="CO135" s="37"/>
      <c r="CP135" s="38"/>
      <c r="CQ135" s="37"/>
      <c r="CR135" s="38"/>
      <c r="CS135" s="109">
        <v>32</v>
      </c>
      <c r="CT135" s="38">
        <v>33.700000000000003</v>
      </c>
      <c r="CU135" s="66">
        <v>410</v>
      </c>
      <c r="CV135" s="61"/>
      <c r="CW135" s="35" t="s">
        <v>965</v>
      </c>
      <c r="CX135" s="68">
        <v>42005</v>
      </c>
      <c r="CY135" s="37" t="s">
        <v>597</v>
      </c>
      <c r="CZ135" s="35"/>
      <c r="DA135" s="58">
        <v>8.7999999999999998E-5</v>
      </c>
      <c r="DB135" s="69">
        <v>0.125</v>
      </c>
      <c r="DC135" s="60"/>
      <c r="DD135" s="69"/>
      <c r="DE135" s="60"/>
      <c r="DF135" s="70">
        <v>13</v>
      </c>
      <c r="DG135" s="70"/>
      <c r="DH135" s="71"/>
      <c r="DI135" s="64"/>
      <c r="DJ135" s="35" t="s">
        <v>966</v>
      </c>
      <c r="DK135" s="61"/>
      <c r="DL135" s="61"/>
      <c r="DM135" s="72"/>
      <c r="DN135" s="64"/>
      <c r="DO135" s="72"/>
      <c r="DP135" s="64">
        <v>2.9</v>
      </c>
      <c r="DQ135" s="72"/>
      <c r="DR135" s="64"/>
      <c r="DS135" s="116">
        <v>-3.5</v>
      </c>
      <c r="DT135" s="36" t="s">
        <v>541</v>
      </c>
      <c r="DU135" s="66"/>
      <c r="DV135" s="62"/>
      <c r="DW135" s="62">
        <v>9.5</v>
      </c>
      <c r="DX135" s="115">
        <v>42005</v>
      </c>
      <c r="DY135" s="4" t="s">
        <v>967</v>
      </c>
      <c r="DZ135" s="74"/>
      <c r="EA135" s="241" t="s">
        <v>968</v>
      </c>
    </row>
    <row r="136" spans="1:131" x14ac:dyDescent="0.4">
      <c r="A136" s="4" t="s">
        <v>146</v>
      </c>
      <c r="B136" s="17" t="s">
        <v>286</v>
      </c>
      <c r="C136" s="8">
        <v>46.561588999999998</v>
      </c>
      <c r="D136" s="8">
        <v>8.3446300000000004</v>
      </c>
      <c r="E136" s="7" t="s">
        <v>258</v>
      </c>
      <c r="F136" s="5" t="s">
        <v>284</v>
      </c>
      <c r="G136" s="7" t="s">
        <v>287</v>
      </c>
      <c r="H136" s="21" t="s">
        <v>288</v>
      </c>
      <c r="I136" s="52"/>
      <c r="J136" s="53"/>
      <c r="K136" s="36"/>
      <c r="L136" s="38"/>
      <c r="M136" s="54"/>
      <c r="N136" s="55">
        <v>0.01</v>
      </c>
      <c r="O136" s="56">
        <v>0.01</v>
      </c>
      <c r="P136" s="59">
        <v>1.0999999999999999E-18</v>
      </c>
      <c r="Q136" s="36"/>
      <c r="R136" s="60">
        <f>AVERAGE(P136,Q136)</f>
        <v>1.0999999999999999E-18</v>
      </c>
      <c r="S136" s="54">
        <v>38</v>
      </c>
      <c r="T136" s="55">
        <v>43</v>
      </c>
      <c r="U136" s="102">
        <f>AVERAGE(S136,T136)</f>
        <v>40.5</v>
      </c>
      <c r="V136" s="55">
        <v>0.36</v>
      </c>
      <c r="W136" s="55">
        <v>0.37</v>
      </c>
      <c r="X136" s="102">
        <f>AVERAGE(V136,W136)</f>
        <v>0.36499999999999999</v>
      </c>
      <c r="Y136" s="54">
        <f>S136/(3*(1-2*V136))</f>
        <v>45.238095238095234</v>
      </c>
      <c r="Z136" s="56">
        <f>T136/(3*(1-2*W136))</f>
        <v>55.128205128205124</v>
      </c>
      <c r="AA136" s="54">
        <f t="shared" si="14"/>
        <v>13.97058823529412</v>
      </c>
      <c r="AB136" s="56">
        <f t="shared" si="14"/>
        <v>15.693430656934305</v>
      </c>
      <c r="AC136" s="54">
        <v>0.48</v>
      </c>
      <c r="AD136" s="56">
        <v>0.71</v>
      </c>
      <c r="AE136" s="54"/>
      <c r="AF136" s="56"/>
      <c r="AG136" s="55"/>
      <c r="AH136" s="56"/>
      <c r="AI136" s="54"/>
      <c r="AJ136" s="56"/>
      <c r="AK136" s="55"/>
      <c r="AL136" s="56"/>
      <c r="AM136" s="54"/>
      <c r="AN136" s="56"/>
      <c r="AO136" s="59"/>
      <c r="AP136" s="60"/>
      <c r="AQ136" s="61"/>
      <c r="AR136" s="62"/>
      <c r="AS136" s="38" t="s">
        <v>725</v>
      </c>
      <c r="AT136" s="63">
        <v>2.1299999999999999E-2</v>
      </c>
      <c r="AU136" s="64">
        <v>0</v>
      </c>
      <c r="AV136" s="64">
        <v>9.1999999999999993</v>
      </c>
      <c r="AW136" s="53">
        <v>10.199999999999999</v>
      </c>
      <c r="AX136" s="65">
        <v>0.03</v>
      </c>
      <c r="AY136" s="64">
        <v>0</v>
      </c>
      <c r="AZ136" s="64">
        <v>13.1</v>
      </c>
      <c r="BA136" s="53">
        <v>14.4</v>
      </c>
      <c r="BB136" s="63">
        <v>0.02</v>
      </c>
      <c r="BC136" s="64">
        <v>0</v>
      </c>
      <c r="BD136" s="64">
        <v>8.6</v>
      </c>
      <c r="BE136" s="53">
        <v>9.6999999999999993</v>
      </c>
      <c r="BF136" s="36" t="s">
        <v>969</v>
      </c>
      <c r="BG136" s="38" t="s">
        <v>611</v>
      </c>
      <c r="BH136" s="63"/>
      <c r="BI136" s="64"/>
      <c r="BJ136" s="64"/>
      <c r="BK136" s="53"/>
      <c r="BL136" s="66"/>
      <c r="BM136" s="62"/>
      <c r="BN136" s="37"/>
      <c r="BO136" s="38"/>
      <c r="BP136" s="36"/>
      <c r="BQ136" s="38"/>
      <c r="BR136" s="37"/>
      <c r="BS136" s="38"/>
      <c r="BT136" s="35"/>
      <c r="BU136" s="38"/>
      <c r="BV136" s="66"/>
      <c r="BW136" s="62"/>
      <c r="BX136" s="66"/>
      <c r="BY136" s="62"/>
      <c r="BZ136" s="67"/>
      <c r="CA136" s="61"/>
      <c r="CB136" s="62"/>
      <c r="CC136" s="37"/>
      <c r="CD136" s="38"/>
      <c r="CE136" s="64"/>
      <c r="CF136" s="53"/>
      <c r="CG136" s="37"/>
      <c r="CH136" s="38"/>
      <c r="CI136" s="36"/>
      <c r="CJ136" s="38"/>
      <c r="CK136" s="37"/>
      <c r="CL136" s="38"/>
      <c r="CM136" s="36"/>
      <c r="CN136" s="38"/>
      <c r="CO136" s="37"/>
      <c r="CP136" s="38"/>
      <c r="CQ136" s="37"/>
      <c r="CR136" s="38"/>
      <c r="CS136" s="37"/>
      <c r="CT136" s="38"/>
      <c r="CU136" s="66"/>
      <c r="CV136" s="61">
        <v>480</v>
      </c>
      <c r="CW136" s="35" t="s">
        <v>266</v>
      </c>
      <c r="CX136" s="68">
        <v>42005</v>
      </c>
      <c r="CY136" s="37"/>
      <c r="CZ136" s="35"/>
      <c r="DA136" s="60">
        <v>6.3000000000000003E-4</v>
      </c>
      <c r="DB136" s="69">
        <v>1.38</v>
      </c>
      <c r="DC136" s="60"/>
      <c r="DD136" s="69"/>
      <c r="DE136" s="60"/>
      <c r="DF136" s="70">
        <v>6.9</v>
      </c>
      <c r="DG136" s="70">
        <v>6.9</v>
      </c>
      <c r="DH136" s="71"/>
      <c r="DI136" s="64"/>
      <c r="DJ136" s="35"/>
      <c r="DK136" s="61"/>
      <c r="DL136" s="61"/>
      <c r="DM136" s="72"/>
      <c r="DN136" s="64"/>
      <c r="DO136" s="72"/>
      <c r="DP136" s="64"/>
      <c r="DQ136" s="72"/>
      <c r="DR136" s="64"/>
      <c r="DS136" s="70">
        <v>-2.5099999999999998</v>
      </c>
      <c r="DT136" s="36" t="s">
        <v>541</v>
      </c>
      <c r="DU136" s="66"/>
      <c r="DV136" s="62"/>
      <c r="DW136" s="62"/>
      <c r="DX136" s="73">
        <v>42776</v>
      </c>
      <c r="DY136" s="36"/>
      <c r="DZ136" s="39"/>
      <c r="EA136" s="249" t="s">
        <v>970</v>
      </c>
    </row>
    <row r="137" spans="1:131" x14ac:dyDescent="0.4">
      <c r="A137" s="4" t="s">
        <v>146</v>
      </c>
      <c r="B137" s="5" t="s">
        <v>289</v>
      </c>
      <c r="C137" s="8">
        <v>47.367639848325702</v>
      </c>
      <c r="D137" s="8">
        <v>7.1691668473718604</v>
      </c>
      <c r="E137" s="7" t="s">
        <v>258</v>
      </c>
      <c r="F137" s="5" t="s">
        <v>268</v>
      </c>
      <c r="G137" s="14" t="s">
        <v>290</v>
      </c>
      <c r="H137" s="21" t="s">
        <v>291</v>
      </c>
      <c r="I137" s="52"/>
      <c r="J137" s="53"/>
      <c r="K137" s="99">
        <v>2500</v>
      </c>
      <c r="L137" s="38"/>
      <c r="M137" s="101">
        <v>0.125</v>
      </c>
      <c r="N137" s="103"/>
      <c r="O137" s="102">
        <v>0.125</v>
      </c>
      <c r="P137" s="59">
        <v>9.9999999999999991E-22</v>
      </c>
      <c r="Q137" s="57">
        <v>1.0000000000000001E-18</v>
      </c>
      <c r="R137" s="58">
        <f>AVERAGE(P137,Q137)</f>
        <v>5.0050000000000005E-19</v>
      </c>
      <c r="S137" s="54">
        <v>2.8</v>
      </c>
      <c r="T137" s="103">
        <v>7.2</v>
      </c>
      <c r="U137" s="102">
        <v>3.2</v>
      </c>
      <c r="V137" s="103">
        <v>0.24</v>
      </c>
      <c r="W137" s="55">
        <v>0.33</v>
      </c>
      <c r="X137" s="102">
        <v>0.3</v>
      </c>
      <c r="Y137" s="54">
        <v>2.7</v>
      </c>
      <c r="Z137" s="56">
        <f>T137/(3*(1-2*W137))</f>
        <v>7.0588235294117645</v>
      </c>
      <c r="AA137" s="54">
        <f t="shared" si="14"/>
        <v>1.129032258064516</v>
      </c>
      <c r="AB137" s="56">
        <f t="shared" si="14"/>
        <v>2.7067669172932329</v>
      </c>
      <c r="AC137" s="54">
        <v>0.7</v>
      </c>
      <c r="AD137" s="56"/>
      <c r="AE137" s="54"/>
      <c r="AF137" s="56"/>
      <c r="AG137" s="55"/>
      <c r="AH137" s="56"/>
      <c r="AI137" s="54"/>
      <c r="AJ137" s="56"/>
      <c r="AK137" s="55"/>
      <c r="AL137" s="56"/>
      <c r="AM137" s="54"/>
      <c r="AN137" s="56"/>
      <c r="AO137" s="59"/>
      <c r="AP137" s="60"/>
      <c r="AQ137" s="104"/>
      <c r="AR137" s="105"/>
      <c r="AS137" s="100" t="s">
        <v>552</v>
      </c>
      <c r="AT137" s="106">
        <v>1.8200000000000001E-2</v>
      </c>
      <c r="AU137" s="64">
        <v>0</v>
      </c>
      <c r="AV137" s="64">
        <v>6.2</v>
      </c>
      <c r="AW137" s="53"/>
      <c r="AX137" s="108">
        <v>1.32E-2</v>
      </c>
      <c r="AY137" s="64">
        <v>0</v>
      </c>
      <c r="AZ137" s="64">
        <v>4.5</v>
      </c>
      <c r="BA137" s="53"/>
      <c r="BB137" s="106">
        <v>5.8799999999999998E-3</v>
      </c>
      <c r="BC137" s="64">
        <v>0</v>
      </c>
      <c r="BD137" s="64">
        <v>2</v>
      </c>
      <c r="BE137" s="53"/>
      <c r="BF137" s="99" t="s">
        <v>971</v>
      </c>
      <c r="BG137" s="38"/>
      <c r="BH137" s="106">
        <v>1.47E-3</v>
      </c>
      <c r="BI137" s="107">
        <v>0</v>
      </c>
      <c r="BJ137" s="64">
        <v>0.5</v>
      </c>
      <c r="BK137" s="53"/>
      <c r="BL137" s="66"/>
      <c r="BM137" s="62"/>
      <c r="BN137" s="37" t="s">
        <v>972</v>
      </c>
      <c r="BO137" s="38"/>
      <c r="BP137" s="36">
        <v>45</v>
      </c>
      <c r="BQ137" s="38"/>
      <c r="BR137" s="37" t="s">
        <v>850</v>
      </c>
      <c r="BS137" s="38"/>
      <c r="BT137" s="35" t="s">
        <v>973</v>
      </c>
      <c r="BU137" s="38" t="s">
        <v>577</v>
      </c>
      <c r="BV137" s="66"/>
      <c r="BW137" s="62">
        <v>10</v>
      </c>
      <c r="BX137" s="66">
        <v>0.8</v>
      </c>
      <c r="BY137" s="62">
        <v>3</v>
      </c>
      <c r="BZ137" s="67">
        <v>1.5</v>
      </c>
      <c r="CA137" s="61"/>
      <c r="CB137" s="62">
        <v>344</v>
      </c>
      <c r="CC137" s="37"/>
      <c r="CD137" s="38"/>
      <c r="CE137" s="64">
        <v>0.12</v>
      </c>
      <c r="CF137" s="53"/>
      <c r="CG137" s="37"/>
      <c r="CH137" s="38"/>
      <c r="CI137" s="36"/>
      <c r="CJ137" s="38"/>
      <c r="CK137" s="37"/>
      <c r="CL137" s="38"/>
      <c r="CM137" s="36"/>
      <c r="CN137" s="38"/>
      <c r="CO137" s="37">
        <v>0.2</v>
      </c>
      <c r="CP137" s="38">
        <v>0.7</v>
      </c>
      <c r="CQ137" s="37"/>
      <c r="CR137" s="38"/>
      <c r="CS137" s="37">
        <v>22</v>
      </c>
      <c r="CT137" s="38"/>
      <c r="CU137" s="66">
        <v>340.6</v>
      </c>
      <c r="CV137" s="61"/>
      <c r="CW137" s="35" t="s">
        <v>974</v>
      </c>
      <c r="CX137" s="68"/>
      <c r="CY137" s="37" t="s">
        <v>597</v>
      </c>
      <c r="CZ137" s="35"/>
      <c r="DA137" s="60">
        <v>5.0000000000000001E-4</v>
      </c>
      <c r="DB137" s="69">
        <v>8.0000000000000002E-3</v>
      </c>
      <c r="DC137" s="60"/>
      <c r="DD137" s="69"/>
      <c r="DE137" s="60"/>
      <c r="DF137" s="70">
        <v>5.5</v>
      </c>
      <c r="DG137" s="70">
        <v>5.5</v>
      </c>
      <c r="DH137" s="71"/>
      <c r="DI137" s="64"/>
      <c r="DJ137" s="35"/>
      <c r="DK137" s="61"/>
      <c r="DL137" s="61"/>
      <c r="DM137" s="72"/>
      <c r="DN137" s="64"/>
      <c r="DO137" s="72"/>
      <c r="DP137" s="64"/>
      <c r="DQ137" s="72"/>
      <c r="DR137" s="107"/>
      <c r="DS137" s="70">
        <v>-2.5</v>
      </c>
      <c r="DT137" s="36" t="s">
        <v>541</v>
      </c>
      <c r="DU137" s="66">
        <v>335</v>
      </c>
      <c r="DV137" s="62"/>
      <c r="DW137" s="62">
        <v>4</v>
      </c>
      <c r="DX137" s="73"/>
      <c r="DY137" s="4" t="s">
        <v>975</v>
      </c>
      <c r="DZ137" s="74" t="s">
        <v>976</v>
      </c>
      <c r="EA137" s="247" t="s">
        <v>977</v>
      </c>
    </row>
    <row r="138" spans="1:131" x14ac:dyDescent="0.4">
      <c r="A138" s="10" t="s">
        <v>40</v>
      </c>
      <c r="B138" s="24" t="s">
        <v>292</v>
      </c>
      <c r="C138" s="12">
        <v>40.798326960813299</v>
      </c>
      <c r="D138" s="12">
        <v>-77.859683089991805</v>
      </c>
      <c r="E138" s="13" t="s">
        <v>258</v>
      </c>
      <c r="F138" s="11" t="s">
        <v>273</v>
      </c>
      <c r="G138" s="13"/>
      <c r="H138" s="32" t="s">
        <v>293</v>
      </c>
      <c r="I138" s="77"/>
      <c r="J138" s="78"/>
      <c r="K138" s="42"/>
      <c r="L138" s="43"/>
      <c r="M138" s="79"/>
      <c r="N138" s="80"/>
      <c r="O138" s="81"/>
      <c r="P138" s="82"/>
      <c r="Q138" s="82"/>
      <c r="R138" s="84"/>
      <c r="S138" s="79"/>
      <c r="T138" s="80"/>
      <c r="U138" s="81"/>
      <c r="V138" s="80"/>
      <c r="W138" s="80"/>
      <c r="X138" s="81"/>
      <c r="Y138" s="79"/>
      <c r="Z138" s="81"/>
      <c r="AA138" s="79"/>
      <c r="AB138" s="81"/>
      <c r="AC138" s="79"/>
      <c r="AD138" s="81"/>
      <c r="AE138" s="79"/>
      <c r="AF138" s="81"/>
      <c r="AG138" s="80"/>
      <c r="AH138" s="81"/>
      <c r="AI138" s="148"/>
      <c r="AJ138" s="81"/>
      <c r="AK138" s="80"/>
      <c r="AL138" s="81"/>
      <c r="AM138" s="79"/>
      <c r="AN138" s="81"/>
      <c r="AO138" s="82"/>
      <c r="AP138" s="84"/>
      <c r="AQ138" s="85"/>
      <c r="AR138" s="86"/>
      <c r="AS138" s="43"/>
      <c r="AT138" s="153"/>
      <c r="AU138" s="154"/>
      <c r="AV138" s="88"/>
      <c r="AW138" s="78"/>
      <c r="AX138" s="155"/>
      <c r="AY138" s="154"/>
      <c r="AZ138" s="88"/>
      <c r="BA138" s="78"/>
      <c r="BB138" s="153"/>
      <c r="BC138" s="154"/>
      <c r="BD138" s="88"/>
      <c r="BE138" s="78"/>
      <c r="BF138" s="44"/>
      <c r="BG138" s="45"/>
      <c r="BH138" s="153"/>
      <c r="BI138" s="154"/>
      <c r="BJ138" s="88"/>
      <c r="BK138" s="78"/>
      <c r="BL138" s="90"/>
      <c r="BM138" s="86"/>
      <c r="BN138" s="40"/>
      <c r="BO138" s="43"/>
      <c r="BP138" s="42"/>
      <c r="BQ138" s="43"/>
      <c r="BR138" s="40"/>
      <c r="BS138" s="43"/>
      <c r="BT138" s="3"/>
      <c r="BU138" s="43"/>
      <c r="BV138" s="90"/>
      <c r="BW138" s="86"/>
      <c r="BX138" s="90"/>
      <c r="BY138" s="86"/>
      <c r="BZ138" s="91"/>
      <c r="CA138" s="85"/>
      <c r="CB138" s="86"/>
      <c r="CC138" s="40"/>
      <c r="CD138" s="43"/>
      <c r="CE138" s="88"/>
      <c r="CF138" s="78"/>
      <c r="CG138" s="156"/>
      <c r="CH138" s="83"/>
      <c r="CI138" s="42"/>
      <c r="CJ138" s="43">
        <v>120</v>
      </c>
      <c r="CK138" s="40">
        <v>140</v>
      </c>
      <c r="CL138" s="43">
        <v>160</v>
      </c>
      <c r="CM138" s="42"/>
      <c r="CN138" s="43"/>
      <c r="CO138" s="40"/>
      <c r="CP138" s="43"/>
      <c r="CQ138" s="40"/>
      <c r="CR138" s="43"/>
      <c r="CS138" s="47"/>
      <c r="CT138" s="43"/>
      <c r="CU138" s="90"/>
      <c r="CV138" s="85"/>
      <c r="CW138" s="3" t="s">
        <v>978</v>
      </c>
      <c r="CX138" s="92">
        <v>44197</v>
      </c>
      <c r="CY138" s="40" t="s">
        <v>979</v>
      </c>
      <c r="CZ138" s="3"/>
      <c r="DA138" s="83">
        <v>5.0000000000000003E-10</v>
      </c>
      <c r="DB138" s="93">
        <v>6.9999999999999998E-9</v>
      </c>
      <c r="DC138" s="84"/>
      <c r="DD138" s="93"/>
      <c r="DE138" s="84"/>
      <c r="DF138" s="94"/>
      <c r="DG138" s="94"/>
      <c r="DH138" s="95"/>
      <c r="DI138" s="88"/>
      <c r="DJ138" s="3"/>
      <c r="DK138" s="85"/>
      <c r="DL138" s="85"/>
      <c r="DM138" s="96"/>
      <c r="DN138" s="88"/>
      <c r="DO138" s="96"/>
      <c r="DP138" s="88"/>
      <c r="DQ138" s="96"/>
      <c r="DR138" s="88"/>
      <c r="DS138" s="158">
        <v>-2.8</v>
      </c>
      <c r="DT138" s="42" t="s">
        <v>541</v>
      </c>
      <c r="DU138" s="90"/>
      <c r="DV138" s="86"/>
      <c r="DW138" s="86"/>
      <c r="DX138" s="160"/>
      <c r="DY138" s="10"/>
      <c r="DZ138" s="98"/>
      <c r="EA138" s="242" t="s">
        <v>980</v>
      </c>
    </row>
    <row r="139" spans="1:131" x14ac:dyDescent="0.4">
      <c r="A139" s="4" t="s">
        <v>212</v>
      </c>
      <c r="B139" s="5" t="s">
        <v>294</v>
      </c>
      <c r="C139" s="8">
        <v>29.416664000000001</v>
      </c>
      <c r="D139" s="8">
        <v>105.583333</v>
      </c>
      <c r="E139" s="7" t="s">
        <v>295</v>
      </c>
      <c r="F139" s="5" t="s">
        <v>296</v>
      </c>
      <c r="G139" s="7"/>
      <c r="H139" s="4" t="s">
        <v>297</v>
      </c>
      <c r="I139" s="52"/>
      <c r="J139" s="53"/>
      <c r="K139" s="36"/>
      <c r="L139" s="38"/>
      <c r="M139" s="54"/>
      <c r="N139" s="55"/>
      <c r="O139" s="56"/>
      <c r="P139" s="36"/>
      <c r="Q139" s="36"/>
      <c r="R139" s="38"/>
      <c r="S139" s="54"/>
      <c r="T139" s="55"/>
      <c r="U139" s="56"/>
      <c r="V139" s="55"/>
      <c r="W139" s="55"/>
      <c r="X139" s="56"/>
      <c r="Y139" s="54"/>
      <c r="Z139" s="56"/>
      <c r="AA139" s="54"/>
      <c r="AB139" s="56"/>
      <c r="AC139" s="54"/>
      <c r="AD139" s="56"/>
      <c r="AE139" s="54"/>
      <c r="AF139" s="56"/>
      <c r="AG139" s="55"/>
      <c r="AH139" s="56"/>
      <c r="AI139" s="54"/>
      <c r="AJ139" s="56"/>
      <c r="AK139" s="55"/>
      <c r="AL139" s="56"/>
      <c r="AM139" s="54"/>
      <c r="AN139" s="56"/>
      <c r="AO139" s="59"/>
      <c r="AP139" s="60"/>
      <c r="AQ139" s="61"/>
      <c r="AR139" s="62"/>
      <c r="AS139" s="38" t="s">
        <v>725</v>
      </c>
      <c r="AT139" s="63"/>
      <c r="AU139" s="64"/>
      <c r="AV139" s="64"/>
      <c r="AW139" s="53"/>
      <c r="AX139" s="65"/>
      <c r="AY139" s="64"/>
      <c r="AZ139" s="64"/>
      <c r="BA139" s="53"/>
      <c r="BB139" s="63"/>
      <c r="BC139" s="64"/>
      <c r="BD139" s="64"/>
      <c r="BE139" s="53"/>
      <c r="BF139" s="36" t="s">
        <v>613</v>
      </c>
      <c r="BG139" s="38"/>
      <c r="BH139" s="63"/>
      <c r="BI139" s="64"/>
      <c r="BJ139" s="64"/>
      <c r="BK139" s="53"/>
      <c r="BL139" s="66"/>
      <c r="BM139" s="62"/>
      <c r="BN139" s="37" t="s">
        <v>631</v>
      </c>
      <c r="BO139" s="38"/>
      <c r="BP139" s="36">
        <v>38</v>
      </c>
      <c r="BQ139" s="38"/>
      <c r="BR139" s="37" t="s">
        <v>613</v>
      </c>
      <c r="BS139" s="38"/>
      <c r="BT139" s="35" t="s">
        <v>981</v>
      </c>
      <c r="BU139" s="38" t="s">
        <v>577</v>
      </c>
      <c r="BV139" s="66"/>
      <c r="BW139" s="62"/>
      <c r="BX139" s="66"/>
      <c r="BY139" s="62"/>
      <c r="BZ139" s="67"/>
      <c r="CA139" s="61"/>
      <c r="CB139" s="62"/>
      <c r="CC139" s="37"/>
      <c r="CD139" s="38"/>
      <c r="CE139" s="64"/>
      <c r="CF139" s="53"/>
      <c r="CG139" s="37"/>
      <c r="CH139" s="38"/>
      <c r="CI139" s="36"/>
      <c r="CJ139" s="38"/>
      <c r="CK139" s="37"/>
      <c r="CL139" s="38"/>
      <c r="CM139" s="36"/>
      <c r="CN139" s="38"/>
      <c r="CO139" s="37"/>
      <c r="CP139" s="38"/>
      <c r="CQ139" s="37"/>
      <c r="CR139" s="38"/>
      <c r="CS139" s="37"/>
      <c r="CT139" s="38"/>
      <c r="CU139" s="66">
        <v>2600</v>
      </c>
      <c r="CV139" s="61">
        <v>2900</v>
      </c>
      <c r="CW139" s="35" t="s">
        <v>982</v>
      </c>
      <c r="CX139" s="68">
        <v>32325</v>
      </c>
      <c r="CY139" s="37" t="s">
        <v>983</v>
      </c>
      <c r="CZ139" s="35"/>
      <c r="DA139" s="60">
        <v>1.1379999999999999E-2</v>
      </c>
      <c r="DB139" s="69">
        <v>1000000</v>
      </c>
      <c r="DC139" s="60"/>
      <c r="DD139" s="69">
        <f>DB139</f>
        <v>1000000</v>
      </c>
      <c r="DE139" s="60"/>
      <c r="DF139" s="70">
        <v>2.9</v>
      </c>
      <c r="DG139" s="70"/>
      <c r="DH139" s="71">
        <v>32387</v>
      </c>
      <c r="DI139" s="64">
        <v>60</v>
      </c>
      <c r="DJ139" s="35" t="s">
        <v>984</v>
      </c>
      <c r="DK139" s="61">
        <v>2000</v>
      </c>
      <c r="DL139" s="61">
        <v>20000</v>
      </c>
      <c r="DM139" s="72"/>
      <c r="DN139" s="64">
        <v>1.4</v>
      </c>
      <c r="DO139" s="72"/>
      <c r="DP139" s="64">
        <v>0.9</v>
      </c>
      <c r="DQ139" s="72"/>
      <c r="DR139" s="64"/>
      <c r="DS139" s="70">
        <v>5.2</v>
      </c>
      <c r="DT139" s="36" t="s">
        <v>581</v>
      </c>
      <c r="DU139" s="66"/>
      <c r="DV139" s="62">
        <v>13000</v>
      </c>
      <c r="DW139" s="62">
        <v>5000</v>
      </c>
      <c r="DX139" s="73">
        <v>35655</v>
      </c>
      <c r="DY139" s="4" t="s">
        <v>985</v>
      </c>
      <c r="DZ139" s="74" t="s">
        <v>986</v>
      </c>
      <c r="EA139" s="241" t="s">
        <v>987</v>
      </c>
    </row>
    <row r="140" spans="1:131" x14ac:dyDescent="0.4">
      <c r="A140" s="34" t="s">
        <v>114</v>
      </c>
      <c r="B140" s="33" t="s">
        <v>298</v>
      </c>
      <c r="C140" s="8">
        <v>40.325153</v>
      </c>
      <c r="D140" s="8">
        <v>15.989455</v>
      </c>
      <c r="E140" s="7" t="s">
        <v>295</v>
      </c>
      <c r="F140" s="5" t="s">
        <v>296</v>
      </c>
      <c r="G140" s="7" t="s">
        <v>299</v>
      </c>
      <c r="H140" s="34" t="s">
        <v>61</v>
      </c>
      <c r="I140" s="52"/>
      <c r="J140" s="53"/>
      <c r="K140" s="37"/>
      <c r="L140" s="38"/>
      <c r="M140" s="54"/>
      <c r="N140" s="55"/>
      <c r="O140" s="56">
        <v>3.0000000000000001E-3</v>
      </c>
      <c r="P140" s="59">
        <v>5.4000000000000002E-15</v>
      </c>
      <c r="Q140" s="59">
        <v>7.6000000000000004E-15</v>
      </c>
      <c r="R140" s="60">
        <v>6.4999999999999999E-15</v>
      </c>
      <c r="S140" s="54"/>
      <c r="T140" s="55"/>
      <c r="U140" s="56"/>
      <c r="V140" s="55"/>
      <c r="W140" s="55"/>
      <c r="X140" s="56"/>
      <c r="Y140" s="54"/>
      <c r="Z140" s="56"/>
      <c r="AA140" s="54"/>
      <c r="AB140" s="56"/>
      <c r="AC140" s="54"/>
      <c r="AD140" s="56"/>
      <c r="AE140" s="54"/>
      <c r="AF140" s="56"/>
      <c r="AG140" s="55"/>
      <c r="AH140" s="56"/>
      <c r="AI140" s="54"/>
      <c r="AJ140" s="56"/>
      <c r="AK140" s="55"/>
      <c r="AL140" s="56"/>
      <c r="AM140" s="54"/>
      <c r="AN140" s="56"/>
      <c r="AO140" s="59"/>
      <c r="AP140" s="60"/>
      <c r="AQ140" s="61">
        <v>11000</v>
      </c>
      <c r="AR140" s="62"/>
      <c r="AS140" s="38"/>
      <c r="AT140" s="63"/>
      <c r="AU140" s="64"/>
      <c r="AV140" s="64">
        <v>111</v>
      </c>
      <c r="AW140" s="53">
        <v>118</v>
      </c>
      <c r="AX140" s="65"/>
      <c r="AY140" s="64"/>
      <c r="AZ140" s="64"/>
      <c r="BA140" s="53"/>
      <c r="BB140" s="63"/>
      <c r="BC140" s="64"/>
      <c r="BD140" s="64"/>
      <c r="BE140" s="53"/>
      <c r="BF140" s="36" t="s">
        <v>988</v>
      </c>
      <c r="BG140" s="38"/>
      <c r="BH140" s="63"/>
      <c r="BI140" s="64"/>
      <c r="BJ140" s="64">
        <v>31</v>
      </c>
      <c r="BK140" s="53">
        <v>33</v>
      </c>
      <c r="BL140" s="66"/>
      <c r="BM140" s="62">
        <v>81.5</v>
      </c>
      <c r="BN140" s="37" t="s">
        <v>989</v>
      </c>
      <c r="BO140" s="38"/>
      <c r="BP140" s="36">
        <v>40</v>
      </c>
      <c r="BQ140" s="38">
        <v>50</v>
      </c>
      <c r="BR140" s="37" t="s">
        <v>800</v>
      </c>
      <c r="BS140" s="38"/>
      <c r="BT140" s="35" t="s">
        <v>990</v>
      </c>
      <c r="BU140" s="38" t="s">
        <v>552</v>
      </c>
      <c r="BV140" s="66"/>
      <c r="BW140" s="62"/>
      <c r="BX140" s="66"/>
      <c r="BY140" s="62"/>
      <c r="BZ140" s="67">
        <v>1000</v>
      </c>
      <c r="CA140" s="61"/>
      <c r="CB140" s="62"/>
      <c r="CC140" s="37"/>
      <c r="CD140" s="38"/>
      <c r="CE140" s="64"/>
      <c r="CF140" s="53"/>
      <c r="CG140" s="69">
        <v>4.3599999999999998E-15</v>
      </c>
      <c r="CH140" s="60">
        <v>1.0799999999999999E-13</v>
      </c>
      <c r="CI140" s="36"/>
      <c r="CJ140" s="38"/>
      <c r="CK140" s="37"/>
      <c r="CL140" s="38"/>
      <c r="CM140" s="36"/>
      <c r="CN140" s="38"/>
      <c r="CO140" s="37"/>
      <c r="CP140" s="38"/>
      <c r="CQ140" s="37"/>
      <c r="CR140" s="38"/>
      <c r="CS140" s="37"/>
      <c r="CT140" s="38"/>
      <c r="CU140" s="189">
        <v>2890</v>
      </c>
      <c r="CV140" s="167">
        <v>3096</v>
      </c>
      <c r="CW140" s="35" t="s">
        <v>991</v>
      </c>
      <c r="CX140" s="174">
        <v>38870</v>
      </c>
      <c r="CY140" s="37" t="s">
        <v>983</v>
      </c>
      <c r="CZ140" s="35"/>
      <c r="DA140" s="190">
        <v>3.4700000000000002E-2</v>
      </c>
      <c r="DB140" s="69">
        <v>6480000</v>
      </c>
      <c r="DC140" s="60"/>
      <c r="DD140" s="69">
        <v>6480000</v>
      </c>
      <c r="DE140" s="60"/>
      <c r="DF140" s="191">
        <v>14</v>
      </c>
      <c r="DG140" s="70"/>
      <c r="DH140" s="71">
        <v>38870</v>
      </c>
      <c r="DI140" s="192">
        <v>0.125</v>
      </c>
      <c r="DJ140" s="193" t="s">
        <v>992</v>
      </c>
      <c r="DK140" s="118">
        <v>1500</v>
      </c>
      <c r="DL140" s="61">
        <v>5000</v>
      </c>
      <c r="DM140" s="72"/>
      <c r="DN140" s="64"/>
      <c r="DO140" s="72"/>
      <c r="DP140" s="64"/>
      <c r="DQ140" s="72"/>
      <c r="DR140" s="64"/>
      <c r="DS140" s="191">
        <v>2.2000000000000002</v>
      </c>
      <c r="DT140" s="126" t="s">
        <v>581</v>
      </c>
      <c r="DU140" s="194"/>
      <c r="DV140" s="62">
        <v>4000</v>
      </c>
      <c r="DW140" s="105">
        <v>500</v>
      </c>
      <c r="DX140" s="73">
        <v>40477</v>
      </c>
      <c r="DY140" s="4" t="s">
        <v>993</v>
      </c>
      <c r="DZ140" s="195" t="s">
        <v>994</v>
      </c>
      <c r="EA140" s="248" t="s">
        <v>995</v>
      </c>
    </row>
    <row r="141" spans="1:131" ht="23.15" x14ac:dyDescent="0.4">
      <c r="A141" s="4" t="s">
        <v>40</v>
      </c>
      <c r="B141" s="5" t="s">
        <v>300</v>
      </c>
      <c r="C141" s="8">
        <v>35.273595999999998</v>
      </c>
      <c r="D141" s="8">
        <v>-92.318164999999993</v>
      </c>
      <c r="E141" s="7" t="s">
        <v>295</v>
      </c>
      <c r="F141" s="5" t="s">
        <v>296</v>
      </c>
      <c r="G141" s="7" t="s">
        <v>301</v>
      </c>
      <c r="H141" s="4" t="s">
        <v>302</v>
      </c>
      <c r="I141" s="52"/>
      <c r="J141" s="53"/>
      <c r="K141" s="37"/>
      <c r="L141" s="38"/>
      <c r="M141" s="54">
        <v>0.04</v>
      </c>
      <c r="N141" s="55">
        <v>0.06</v>
      </c>
      <c r="O141" s="56">
        <v>0.05</v>
      </c>
      <c r="P141" s="59">
        <v>2.0000000000000001E-13</v>
      </c>
      <c r="Q141" s="59">
        <v>9.9999999999999998E-13</v>
      </c>
      <c r="R141" s="60">
        <f>AVERAGE(P141,Q141)</f>
        <v>5.9999999999999997E-13</v>
      </c>
      <c r="S141" s="54"/>
      <c r="T141" s="55"/>
      <c r="U141" s="56">
        <v>28</v>
      </c>
      <c r="V141" s="55"/>
      <c r="W141" s="55"/>
      <c r="X141" s="56"/>
      <c r="Y141" s="54">
        <v>2.6</v>
      </c>
      <c r="Z141" s="56"/>
      <c r="AA141" s="54">
        <v>30</v>
      </c>
      <c r="AB141" s="56"/>
      <c r="AC141" s="54"/>
      <c r="AD141" s="56"/>
      <c r="AE141" s="54"/>
      <c r="AF141" s="56"/>
      <c r="AG141" s="55"/>
      <c r="AH141" s="56"/>
      <c r="AI141" s="54"/>
      <c r="AJ141" s="56"/>
      <c r="AK141" s="55"/>
      <c r="AL141" s="56"/>
      <c r="AM141" s="54"/>
      <c r="AN141" s="56"/>
      <c r="AO141" s="59"/>
      <c r="AP141" s="60"/>
      <c r="AQ141" s="61">
        <v>3700</v>
      </c>
      <c r="AR141" s="62"/>
      <c r="AS141" s="38"/>
      <c r="AT141" s="63"/>
      <c r="AU141" s="64"/>
      <c r="AV141" s="64"/>
      <c r="AW141" s="53"/>
      <c r="AX141" s="65"/>
      <c r="AY141" s="64"/>
      <c r="AZ141" s="64"/>
      <c r="BA141" s="53"/>
      <c r="BB141" s="63"/>
      <c r="BC141" s="64"/>
      <c r="BD141" s="64"/>
      <c r="BE141" s="53"/>
      <c r="BF141" s="36"/>
      <c r="BG141" s="38"/>
      <c r="BH141" s="63"/>
      <c r="BI141" s="64"/>
      <c r="BJ141" s="64"/>
      <c r="BK141" s="53"/>
      <c r="BL141" s="66"/>
      <c r="BM141" s="62"/>
      <c r="BN141" s="37" t="s">
        <v>782</v>
      </c>
      <c r="BO141" s="38"/>
      <c r="BP141" s="36">
        <v>89</v>
      </c>
      <c r="BQ141" s="38"/>
      <c r="BR141" s="37" t="s">
        <v>996</v>
      </c>
      <c r="BS141" s="38"/>
      <c r="BT141" s="35" t="s">
        <v>997</v>
      </c>
      <c r="BU141" s="38" t="s">
        <v>535</v>
      </c>
      <c r="BV141" s="66">
        <v>10</v>
      </c>
      <c r="BW141" s="62"/>
      <c r="BX141" s="66"/>
      <c r="BY141" s="62"/>
      <c r="BZ141" s="173">
        <v>1500</v>
      </c>
      <c r="CA141" s="61"/>
      <c r="CB141" s="62"/>
      <c r="CC141" s="37"/>
      <c r="CD141" s="38"/>
      <c r="CE141" s="64"/>
      <c r="CF141" s="53"/>
      <c r="CG141" s="69">
        <v>1E-13</v>
      </c>
      <c r="CH141" s="60">
        <v>4.9999999999999997E-12</v>
      </c>
      <c r="CI141" s="36"/>
      <c r="CJ141" s="38"/>
      <c r="CK141" s="37"/>
      <c r="CL141" s="38"/>
      <c r="CM141" s="36"/>
      <c r="CN141" s="38"/>
      <c r="CO141" s="37">
        <v>22.4</v>
      </c>
      <c r="CP141" s="38"/>
      <c r="CQ141" s="37"/>
      <c r="CR141" s="38"/>
      <c r="CS141" s="37"/>
      <c r="CT141" s="38"/>
      <c r="CU141" s="66">
        <v>1821</v>
      </c>
      <c r="CV141" s="61">
        <v>3344</v>
      </c>
      <c r="CW141" s="35" t="s">
        <v>982</v>
      </c>
      <c r="CX141" s="68">
        <v>40367</v>
      </c>
      <c r="CY141" s="37" t="s">
        <v>983</v>
      </c>
      <c r="CZ141" s="35"/>
      <c r="DA141" s="60">
        <v>2.4199999999999999E-2</v>
      </c>
      <c r="DB141" s="69">
        <f>DC141/2</f>
        <v>324073</v>
      </c>
      <c r="DC141" s="60">
        <v>648146</v>
      </c>
      <c r="DD141" s="69">
        <f>DE141/2</f>
        <v>324073</v>
      </c>
      <c r="DE141" s="60">
        <v>648146</v>
      </c>
      <c r="DF141" s="70">
        <v>19.600000000000001</v>
      </c>
      <c r="DG141" s="70"/>
      <c r="DH141" s="71">
        <v>40394</v>
      </c>
      <c r="DI141" s="64">
        <v>28</v>
      </c>
      <c r="DJ141" s="35" t="s">
        <v>998</v>
      </c>
      <c r="DK141" s="61">
        <v>3000</v>
      </c>
      <c r="DL141" s="61">
        <v>7000</v>
      </c>
      <c r="DM141" s="72"/>
      <c r="DN141" s="64"/>
      <c r="DO141" s="72"/>
      <c r="DP141" s="64">
        <v>1.06</v>
      </c>
      <c r="DQ141" s="72"/>
      <c r="DR141" s="64">
        <v>1</v>
      </c>
      <c r="DS141" s="70">
        <v>4.7</v>
      </c>
      <c r="DT141" s="36" t="s">
        <v>541</v>
      </c>
      <c r="DU141" s="66"/>
      <c r="DV141" s="62"/>
      <c r="DW141" s="62">
        <v>1500</v>
      </c>
      <c r="DX141" s="73">
        <v>40601</v>
      </c>
      <c r="DY141" s="4" t="s">
        <v>999</v>
      </c>
      <c r="DZ141" s="74" t="s">
        <v>1000</v>
      </c>
      <c r="EA141" s="241" t="s">
        <v>1001</v>
      </c>
    </row>
    <row r="142" spans="1:131" x14ac:dyDescent="0.4">
      <c r="A142" s="4" t="s">
        <v>40</v>
      </c>
      <c r="B142" s="17" t="s">
        <v>303</v>
      </c>
      <c r="C142" s="8">
        <v>41.907741999999999</v>
      </c>
      <c r="D142" s="8">
        <v>-80.733883000000006</v>
      </c>
      <c r="E142" s="7" t="s">
        <v>295</v>
      </c>
      <c r="F142" s="5" t="s">
        <v>296</v>
      </c>
      <c r="G142" s="14" t="s">
        <v>304</v>
      </c>
      <c r="H142" s="21" t="s">
        <v>23</v>
      </c>
      <c r="I142" s="52"/>
      <c r="J142" s="53"/>
      <c r="K142" s="109"/>
      <c r="L142" s="38"/>
      <c r="M142" s="101">
        <v>9.4E-2</v>
      </c>
      <c r="N142" s="103">
        <v>0.10299999999999999</v>
      </c>
      <c r="O142" s="102">
        <f>AVERAGE(M142,N142)</f>
        <v>9.8500000000000004E-2</v>
      </c>
      <c r="P142" s="36"/>
      <c r="Q142" s="57">
        <v>1E-13</v>
      </c>
      <c r="R142" s="60">
        <f>Q142</f>
        <v>1E-13</v>
      </c>
      <c r="S142" s="54"/>
      <c r="T142" s="103">
        <v>62</v>
      </c>
      <c r="U142" s="102">
        <v>62</v>
      </c>
      <c r="V142" s="103">
        <v>0.19</v>
      </c>
      <c r="W142" s="55"/>
      <c r="X142" s="56">
        <v>0.19</v>
      </c>
      <c r="Y142" s="54"/>
      <c r="Z142" s="56">
        <f>T142/(3*(1-2*W142))</f>
        <v>20.666666666666668</v>
      </c>
      <c r="AA142" s="54"/>
      <c r="AB142" s="56">
        <f>T142/(2*(1+W142))</f>
        <v>31</v>
      </c>
      <c r="AC142" s="54"/>
      <c r="AD142" s="56"/>
      <c r="AE142" s="54"/>
      <c r="AF142" s="56"/>
      <c r="AG142" s="55"/>
      <c r="AH142" s="56"/>
      <c r="AI142" s="54"/>
      <c r="AJ142" s="56"/>
      <c r="AK142" s="55"/>
      <c r="AL142" s="56"/>
      <c r="AM142" s="54"/>
      <c r="AN142" s="56"/>
      <c r="AO142" s="59"/>
      <c r="AP142" s="60"/>
      <c r="AQ142" s="104"/>
      <c r="AR142" s="105"/>
      <c r="AS142" s="100" t="s">
        <v>620</v>
      </c>
      <c r="AT142" s="106">
        <v>2.5999999999999999E-2</v>
      </c>
      <c r="AU142" s="107">
        <v>0</v>
      </c>
      <c r="AV142" s="64">
        <f>PRODUCT(AT142,CU142)</f>
        <v>46.8</v>
      </c>
      <c r="AW142" s="53"/>
      <c r="AX142" s="108">
        <v>2.4879999999999999E-2</v>
      </c>
      <c r="AY142" s="107">
        <v>0</v>
      </c>
      <c r="AZ142" s="64">
        <f>PRODUCT(AX142,CU142)</f>
        <v>44.783999999999999</v>
      </c>
      <c r="BA142" s="53"/>
      <c r="BB142" s="106">
        <v>1.5800000000000002E-2</v>
      </c>
      <c r="BC142" s="107">
        <v>0</v>
      </c>
      <c r="BD142" s="64">
        <f>PRODUCT(BB142,CU142)</f>
        <v>28.44</v>
      </c>
      <c r="BE142" s="53"/>
      <c r="BF142" s="99" t="s">
        <v>912</v>
      </c>
      <c r="BG142" s="38"/>
      <c r="BH142" s="106">
        <v>1.018E-2</v>
      </c>
      <c r="BI142" s="107">
        <v>0</v>
      </c>
      <c r="BJ142" s="64">
        <f>PRODUCT(BH142,CU142)</f>
        <v>18.323999999999998</v>
      </c>
      <c r="BK142" s="53"/>
      <c r="BL142" s="66"/>
      <c r="BM142" s="62"/>
      <c r="BN142" s="37"/>
      <c r="BO142" s="38"/>
      <c r="BP142" s="36"/>
      <c r="BQ142" s="38"/>
      <c r="BR142" s="37"/>
      <c r="BS142" s="38"/>
      <c r="BT142" s="35"/>
      <c r="BU142" s="38"/>
      <c r="BV142" s="66"/>
      <c r="BW142" s="62"/>
      <c r="BX142" s="66"/>
      <c r="BY142" s="62"/>
      <c r="BZ142" s="67"/>
      <c r="CA142" s="61"/>
      <c r="CB142" s="62"/>
      <c r="CC142" s="37"/>
      <c r="CD142" s="38"/>
      <c r="CE142" s="64"/>
      <c r="CF142" s="53"/>
      <c r="CG142" s="37"/>
      <c r="CH142" s="38"/>
      <c r="CI142" s="36"/>
      <c r="CJ142" s="38"/>
      <c r="CK142" s="37"/>
      <c r="CL142" s="38"/>
      <c r="CM142" s="36"/>
      <c r="CN142" s="38"/>
      <c r="CO142" s="37"/>
      <c r="CP142" s="38"/>
      <c r="CQ142" s="37"/>
      <c r="CR142" s="38"/>
      <c r="CS142" s="37"/>
      <c r="CT142" s="38"/>
      <c r="CU142" s="66">
        <v>1800</v>
      </c>
      <c r="CV142" s="61"/>
      <c r="CW142" s="35"/>
      <c r="CX142" s="68">
        <v>31413</v>
      </c>
      <c r="CY142" s="37"/>
      <c r="CZ142" s="35"/>
      <c r="DA142" s="60">
        <v>1.9E-3</v>
      </c>
      <c r="DB142" s="69">
        <v>340000</v>
      </c>
      <c r="DC142" s="60"/>
      <c r="DD142" s="69"/>
      <c r="DE142" s="60"/>
      <c r="DF142" s="70">
        <v>10</v>
      </c>
      <c r="DG142" s="70"/>
      <c r="DH142" s="71">
        <v>31778</v>
      </c>
      <c r="DI142" s="64"/>
      <c r="DJ142" s="134" t="s">
        <v>1002</v>
      </c>
      <c r="DK142" s="61">
        <v>1750</v>
      </c>
      <c r="DL142" s="61">
        <v>3750</v>
      </c>
      <c r="DM142" s="72"/>
      <c r="DN142" s="64"/>
      <c r="DO142" s="72"/>
      <c r="DP142" s="64"/>
      <c r="DQ142" s="72"/>
      <c r="DR142" s="64"/>
      <c r="DS142" s="70">
        <v>4.3</v>
      </c>
      <c r="DT142" s="36" t="s">
        <v>1003</v>
      </c>
      <c r="DU142" s="66"/>
      <c r="DV142" s="62">
        <v>3750</v>
      </c>
      <c r="DW142" s="62">
        <v>6500</v>
      </c>
      <c r="DX142" s="73">
        <v>36917</v>
      </c>
      <c r="DY142" s="114"/>
      <c r="DZ142" s="74"/>
      <c r="EA142" s="241" t="s">
        <v>1004</v>
      </c>
    </row>
    <row r="143" spans="1:131" x14ac:dyDescent="0.4">
      <c r="A143" s="4" t="s">
        <v>40</v>
      </c>
      <c r="B143" s="5" t="s">
        <v>305</v>
      </c>
      <c r="C143" s="8">
        <v>32.992842000000003</v>
      </c>
      <c r="D143" s="8">
        <v>-97.585179999999994</v>
      </c>
      <c r="E143" s="7" t="s">
        <v>295</v>
      </c>
      <c r="F143" s="5" t="s">
        <v>306</v>
      </c>
      <c r="G143" s="7" t="s">
        <v>307</v>
      </c>
      <c r="H143" s="4" t="s">
        <v>116</v>
      </c>
      <c r="I143" s="52"/>
      <c r="J143" s="53"/>
      <c r="K143" s="36"/>
      <c r="L143" s="38"/>
      <c r="M143" s="54"/>
      <c r="N143" s="103">
        <v>0.04</v>
      </c>
      <c r="O143" s="102">
        <v>0.04</v>
      </c>
      <c r="P143" s="57">
        <v>1.0000000000000001E-15</v>
      </c>
      <c r="Q143" s="57">
        <v>4.9999999999999999E-13</v>
      </c>
      <c r="R143" s="60">
        <f>AVERAGE(P143,Q143)</f>
        <v>2.5049999999999999E-13</v>
      </c>
      <c r="S143" s="54"/>
      <c r="T143" s="55"/>
      <c r="U143" s="56"/>
      <c r="V143" s="55"/>
      <c r="W143" s="55"/>
      <c r="X143" s="56"/>
      <c r="Y143" s="54"/>
      <c r="Z143" s="56"/>
      <c r="AA143" s="54"/>
      <c r="AB143" s="56"/>
      <c r="AC143" s="37"/>
      <c r="AD143" s="38"/>
      <c r="AE143" s="37"/>
      <c r="AF143" s="38"/>
      <c r="AG143" s="36"/>
      <c r="AH143" s="38"/>
      <c r="AI143" s="37"/>
      <c r="AJ143" s="38"/>
      <c r="AK143" s="36"/>
      <c r="AL143" s="38"/>
      <c r="AM143" s="37"/>
      <c r="AN143" s="38"/>
      <c r="AO143" s="59"/>
      <c r="AP143" s="60"/>
      <c r="AQ143" s="61"/>
      <c r="AR143" s="62"/>
      <c r="AS143" s="38" t="s">
        <v>552</v>
      </c>
      <c r="AT143" s="63">
        <v>2.5999999999999999E-2</v>
      </c>
      <c r="AU143" s="64">
        <v>0</v>
      </c>
      <c r="AV143" s="64">
        <f>AT143*CU143+AU143</f>
        <v>52</v>
      </c>
      <c r="AW143" s="53"/>
      <c r="AX143" s="65">
        <v>2.5999999999999999E-2</v>
      </c>
      <c r="AY143" s="64">
        <v>0</v>
      </c>
      <c r="AZ143" s="64">
        <f>AX143*CU143+AY143</f>
        <v>52</v>
      </c>
      <c r="BA143" s="53"/>
      <c r="BB143" s="63">
        <v>1.4200000000000001E-2</v>
      </c>
      <c r="BC143" s="64">
        <v>0</v>
      </c>
      <c r="BD143" s="64">
        <f>BB143*CU143+BC143</f>
        <v>28.400000000000002</v>
      </c>
      <c r="BE143" s="53"/>
      <c r="BF143" s="36"/>
      <c r="BG143" s="38" t="s">
        <v>1005</v>
      </c>
      <c r="BH143" s="63">
        <v>1.06E-2</v>
      </c>
      <c r="BI143" s="64">
        <v>0</v>
      </c>
      <c r="BJ143" s="64">
        <f>BH143*CU143+BI143</f>
        <v>21.2</v>
      </c>
      <c r="BK143" s="53"/>
      <c r="BL143" s="66"/>
      <c r="BM143" s="62"/>
      <c r="BN143" s="37"/>
      <c r="BO143" s="38"/>
      <c r="BP143" s="36"/>
      <c r="BQ143" s="38"/>
      <c r="BR143" s="37"/>
      <c r="BS143" s="38"/>
      <c r="BT143" s="35"/>
      <c r="BU143" s="38"/>
      <c r="BV143" s="66"/>
      <c r="BW143" s="62"/>
      <c r="BX143" s="66"/>
      <c r="BY143" s="62"/>
      <c r="BZ143" s="67"/>
      <c r="CA143" s="61"/>
      <c r="CB143" s="62"/>
      <c r="CC143" s="37"/>
      <c r="CD143" s="38"/>
      <c r="CE143" s="64"/>
      <c r="CF143" s="53"/>
      <c r="CG143" s="37"/>
      <c r="CH143" s="38"/>
      <c r="CI143" s="36"/>
      <c r="CJ143" s="38"/>
      <c r="CK143" s="37"/>
      <c r="CL143" s="38"/>
      <c r="CM143" s="36"/>
      <c r="CN143" s="38"/>
      <c r="CO143" s="37"/>
      <c r="CP143" s="38"/>
      <c r="CQ143" s="37"/>
      <c r="CR143" s="38"/>
      <c r="CS143" s="37"/>
      <c r="CT143" s="38"/>
      <c r="CU143" s="66">
        <v>2000</v>
      </c>
      <c r="CV143" s="61"/>
      <c r="CW143" s="35"/>
      <c r="CX143" s="68">
        <v>39965</v>
      </c>
      <c r="CY143" s="37"/>
      <c r="CZ143" s="35"/>
      <c r="DA143" s="60">
        <v>4.5999999999999999E-3</v>
      </c>
      <c r="DB143" s="69"/>
      <c r="DC143" s="60"/>
      <c r="DD143" s="69"/>
      <c r="DE143" s="60"/>
      <c r="DF143" s="70"/>
      <c r="DG143" s="70"/>
      <c r="DH143" s="71">
        <v>41579</v>
      </c>
      <c r="DI143" s="64"/>
      <c r="DJ143" s="35">
        <v>27</v>
      </c>
      <c r="DK143" s="61">
        <v>2000</v>
      </c>
      <c r="DL143" s="61">
        <v>8000</v>
      </c>
      <c r="DM143" s="72"/>
      <c r="DN143" s="64"/>
      <c r="DO143" s="72"/>
      <c r="DP143" s="64"/>
      <c r="DQ143" s="72"/>
      <c r="DR143" s="64">
        <v>1.01</v>
      </c>
      <c r="DS143" s="70">
        <v>3.6</v>
      </c>
      <c r="DT143" s="36" t="s">
        <v>1003</v>
      </c>
      <c r="DU143" s="66"/>
      <c r="DV143" s="62"/>
      <c r="DW143" s="62"/>
      <c r="DX143" s="73">
        <v>41598</v>
      </c>
      <c r="DY143" s="114"/>
      <c r="DZ143" s="74"/>
      <c r="EA143" s="241" t="s">
        <v>1006</v>
      </c>
    </row>
    <row r="144" spans="1:131" x14ac:dyDescent="0.4">
      <c r="A144" s="4" t="s">
        <v>40</v>
      </c>
      <c r="B144" s="5" t="s">
        <v>308</v>
      </c>
      <c r="C144" s="8">
        <v>32.292999999999999</v>
      </c>
      <c r="D144" s="8">
        <v>-97.372</v>
      </c>
      <c r="E144" s="7" t="s">
        <v>295</v>
      </c>
      <c r="F144" s="5" t="s">
        <v>296</v>
      </c>
      <c r="G144" s="7" t="s">
        <v>307</v>
      </c>
      <c r="H144" s="4" t="s">
        <v>116</v>
      </c>
      <c r="I144" s="52"/>
      <c r="J144" s="53"/>
      <c r="K144" s="36"/>
      <c r="L144" s="38"/>
      <c r="M144" s="54"/>
      <c r="N144" s="103">
        <v>0.04</v>
      </c>
      <c r="O144" s="102">
        <v>0.04</v>
      </c>
      <c r="P144" s="57">
        <v>1.0000000000000001E-15</v>
      </c>
      <c r="Q144" s="57">
        <v>4.9999999999999999E-13</v>
      </c>
      <c r="R144" s="60">
        <f>AVERAGE(P144,Q144)</f>
        <v>2.5049999999999999E-13</v>
      </c>
      <c r="S144" s="54"/>
      <c r="T144" s="55"/>
      <c r="U144" s="56"/>
      <c r="V144" s="55"/>
      <c r="W144" s="55"/>
      <c r="X144" s="56"/>
      <c r="Y144" s="54"/>
      <c r="Z144" s="56"/>
      <c r="AA144" s="54"/>
      <c r="AB144" s="56"/>
      <c r="AC144" s="54"/>
      <c r="AD144" s="56"/>
      <c r="AE144" s="54"/>
      <c r="AF144" s="56"/>
      <c r="AG144" s="55"/>
      <c r="AH144" s="56"/>
      <c r="AI144" s="54"/>
      <c r="AJ144" s="56"/>
      <c r="AK144" s="55"/>
      <c r="AL144" s="56"/>
      <c r="AM144" s="54"/>
      <c r="AN144" s="56"/>
      <c r="AO144" s="59"/>
      <c r="AP144" s="60"/>
      <c r="AQ144" s="61"/>
      <c r="AR144" s="62"/>
      <c r="AS144" s="38" t="s">
        <v>552</v>
      </c>
      <c r="AT144" s="63">
        <v>2.5999999999999999E-2</v>
      </c>
      <c r="AU144" s="64">
        <v>0</v>
      </c>
      <c r="AV144" s="64">
        <f>AT144*CU144+AU144</f>
        <v>62.321999999999996</v>
      </c>
      <c r="AW144" s="53">
        <f>AT144*CV144+AU144</f>
        <v>85.227999999999994</v>
      </c>
      <c r="AX144" s="65">
        <v>2.3650000000000001E-2</v>
      </c>
      <c r="AY144" s="64">
        <v>0</v>
      </c>
      <c r="AZ144" s="64">
        <f>AX144*CU144+AY144</f>
        <v>56.689050000000002</v>
      </c>
      <c r="BA144" s="53">
        <f>AX144*CV144+AY144</f>
        <v>77.52470000000001</v>
      </c>
      <c r="BB144" s="63">
        <v>1.4200000000000001E-2</v>
      </c>
      <c r="BC144" s="64">
        <v>0</v>
      </c>
      <c r="BD144" s="64">
        <f>BB144*CU144+BC144</f>
        <v>34.037400000000005</v>
      </c>
      <c r="BE144" s="53">
        <f>BB144*CV144+BC144</f>
        <v>46.547600000000003</v>
      </c>
      <c r="BF144" s="36"/>
      <c r="BG144" s="38" t="s">
        <v>744</v>
      </c>
      <c r="BH144" s="63">
        <v>1.0500000000000001E-2</v>
      </c>
      <c r="BI144" s="64">
        <v>0</v>
      </c>
      <c r="BJ144" s="64">
        <f>BH144*CU144+BI144</f>
        <v>25.168500000000002</v>
      </c>
      <c r="BK144" s="53">
        <f>BH144*CV144+BI144</f>
        <v>34.419000000000004</v>
      </c>
      <c r="BL144" s="66"/>
      <c r="BM144" s="62"/>
      <c r="BN144" s="37"/>
      <c r="BO144" s="38"/>
      <c r="BP144" s="36"/>
      <c r="BQ144" s="38"/>
      <c r="BR144" s="36"/>
      <c r="BS144" s="38"/>
      <c r="BT144" s="35"/>
      <c r="BU144" s="38"/>
      <c r="BV144" s="66"/>
      <c r="BW144" s="62"/>
      <c r="BX144" s="66"/>
      <c r="BY144" s="62"/>
      <c r="BZ144" s="67"/>
      <c r="CA144" s="61"/>
      <c r="CB144" s="62"/>
      <c r="CC144" s="37"/>
      <c r="CD144" s="38"/>
      <c r="CE144" s="64"/>
      <c r="CF144" s="53"/>
      <c r="CG144" s="37"/>
      <c r="CH144" s="38"/>
      <c r="CI144" s="36"/>
      <c r="CJ144" s="38"/>
      <c r="CK144" s="37"/>
      <c r="CL144" s="38"/>
      <c r="CM144" s="36"/>
      <c r="CN144" s="38"/>
      <c r="CO144" s="37"/>
      <c r="CP144" s="38"/>
      <c r="CQ144" s="37"/>
      <c r="CR144" s="38"/>
      <c r="CS144" s="37"/>
      <c r="CT144" s="38"/>
      <c r="CU144" s="66">
        <v>2397</v>
      </c>
      <c r="CV144" s="61">
        <v>3278</v>
      </c>
      <c r="CW144" s="35"/>
      <c r="CX144" s="68">
        <v>38687</v>
      </c>
      <c r="CY144" s="37"/>
      <c r="CZ144" s="35"/>
      <c r="DA144" s="60">
        <v>3.6799999999999999E-2</v>
      </c>
      <c r="DB144" s="69"/>
      <c r="DC144" s="60"/>
      <c r="DD144" s="69"/>
      <c r="DE144" s="60"/>
      <c r="DF144" s="70"/>
      <c r="DG144" s="70"/>
      <c r="DH144" s="71">
        <v>39966</v>
      </c>
      <c r="DI144" s="64"/>
      <c r="DJ144" s="35" t="s">
        <v>1007</v>
      </c>
      <c r="DK144" s="61">
        <v>1620</v>
      </c>
      <c r="DL144" s="61">
        <v>4970</v>
      </c>
      <c r="DM144" s="72"/>
      <c r="DN144" s="64"/>
      <c r="DO144" s="72"/>
      <c r="DP144" s="64"/>
      <c r="DQ144" s="72"/>
      <c r="DR144" s="64"/>
      <c r="DS144" s="70">
        <v>3.5</v>
      </c>
      <c r="DT144" s="36" t="s">
        <v>1003</v>
      </c>
      <c r="DU144" s="66"/>
      <c r="DV144" s="62"/>
      <c r="DW144" s="62"/>
      <c r="DX144" s="73">
        <v>41084</v>
      </c>
      <c r="DY144" s="114"/>
      <c r="DZ144" s="74"/>
      <c r="EA144" s="241" t="s">
        <v>1008</v>
      </c>
    </row>
    <row r="145" spans="1:131" x14ac:dyDescent="0.4">
      <c r="A145" s="4" t="s">
        <v>40</v>
      </c>
      <c r="B145" s="5" t="s">
        <v>309</v>
      </c>
      <c r="C145" s="8">
        <v>35.901018000000001</v>
      </c>
      <c r="D145" s="8">
        <v>-96.806531000000007</v>
      </c>
      <c r="E145" s="7" t="s">
        <v>295</v>
      </c>
      <c r="F145" s="5" t="s">
        <v>296</v>
      </c>
      <c r="G145" s="7" t="s">
        <v>310</v>
      </c>
      <c r="H145" s="4" t="s">
        <v>311</v>
      </c>
      <c r="I145" s="196"/>
      <c r="J145" s="53"/>
      <c r="K145" s="36">
        <v>2670</v>
      </c>
      <c r="L145" s="38"/>
      <c r="M145" s="54">
        <v>2.7E-2</v>
      </c>
      <c r="N145" s="55"/>
      <c r="O145" s="56">
        <v>2.7E-2</v>
      </c>
      <c r="P145" s="36"/>
      <c r="Q145" s="59">
        <v>1E-13</v>
      </c>
      <c r="R145" s="60">
        <f>Q145</f>
        <v>1E-13</v>
      </c>
      <c r="S145" s="54">
        <v>53.4</v>
      </c>
      <c r="T145" s="55"/>
      <c r="U145" s="56">
        <v>53.4</v>
      </c>
      <c r="V145" s="55">
        <v>0.23</v>
      </c>
      <c r="W145" s="55"/>
      <c r="X145" s="56">
        <v>0.23</v>
      </c>
      <c r="Y145" s="54"/>
      <c r="Z145" s="56"/>
      <c r="AA145" s="54"/>
      <c r="AB145" s="56"/>
      <c r="AC145" s="54"/>
      <c r="AD145" s="56"/>
      <c r="AE145" s="54"/>
      <c r="AF145" s="56"/>
      <c r="AG145" s="55"/>
      <c r="AH145" s="56"/>
      <c r="AI145" s="54"/>
      <c r="AJ145" s="56"/>
      <c r="AK145" s="55"/>
      <c r="AL145" s="56"/>
      <c r="AM145" s="54"/>
      <c r="AN145" s="56"/>
      <c r="AO145" s="59"/>
      <c r="AP145" s="60"/>
      <c r="AQ145" s="61"/>
      <c r="AR145" s="62"/>
      <c r="AS145" s="38" t="s">
        <v>535</v>
      </c>
      <c r="AT145" s="63">
        <v>2.5000000000000001E-2</v>
      </c>
      <c r="AU145" s="64">
        <v>0</v>
      </c>
      <c r="AV145" s="64">
        <v>125</v>
      </c>
      <c r="AW145" s="53"/>
      <c r="AX145" s="65">
        <v>0.03</v>
      </c>
      <c r="AY145" s="64">
        <v>0</v>
      </c>
      <c r="AZ145" s="64">
        <v>150</v>
      </c>
      <c r="BA145" s="53"/>
      <c r="BB145" s="63">
        <v>1.5599999999999999E-2</v>
      </c>
      <c r="BC145" s="64">
        <v>0</v>
      </c>
      <c r="BD145" s="64">
        <v>78</v>
      </c>
      <c r="BE145" s="53"/>
      <c r="BF145" s="36" t="s">
        <v>1009</v>
      </c>
      <c r="BG145" s="38"/>
      <c r="BH145" s="63">
        <v>9.5999999999999992E-3</v>
      </c>
      <c r="BI145" s="64">
        <v>0</v>
      </c>
      <c r="BJ145" s="64"/>
      <c r="BK145" s="53"/>
      <c r="BL145" s="66"/>
      <c r="BM145" s="62"/>
      <c r="BN145" s="37" t="s">
        <v>912</v>
      </c>
      <c r="BO145" s="38"/>
      <c r="BP145" s="36">
        <v>78</v>
      </c>
      <c r="BQ145" s="38"/>
      <c r="BR145" s="37"/>
      <c r="BS145" s="38"/>
      <c r="BT145" s="35" t="s">
        <v>1010</v>
      </c>
      <c r="BU145" s="38" t="s">
        <v>535</v>
      </c>
      <c r="BV145" s="66"/>
      <c r="BW145" s="62"/>
      <c r="BX145" s="66"/>
      <c r="BY145" s="62"/>
      <c r="BZ145" s="67"/>
      <c r="CA145" s="61"/>
      <c r="CB145" s="62"/>
      <c r="CC145" s="37"/>
      <c r="CD145" s="38"/>
      <c r="CE145" s="64"/>
      <c r="CF145" s="53"/>
      <c r="CG145" s="37"/>
      <c r="CH145" s="38"/>
      <c r="CI145" s="36"/>
      <c r="CJ145" s="38"/>
      <c r="CK145" s="37"/>
      <c r="CL145" s="38"/>
      <c r="CM145" s="36"/>
      <c r="CN145" s="38"/>
      <c r="CO145" s="37"/>
      <c r="CP145" s="38"/>
      <c r="CQ145" s="37"/>
      <c r="CR145" s="38"/>
      <c r="CS145" s="37"/>
      <c r="CT145" s="38"/>
      <c r="CU145" s="66">
        <v>1250</v>
      </c>
      <c r="CV145" s="61">
        <v>2250</v>
      </c>
      <c r="CW145" s="35" t="s">
        <v>1011</v>
      </c>
      <c r="CX145" s="68">
        <v>38718</v>
      </c>
      <c r="CY145" s="37"/>
      <c r="CZ145" s="35"/>
      <c r="DA145" s="60">
        <v>2.9069999999999999E-2</v>
      </c>
      <c r="DB145" s="69">
        <v>6820000</v>
      </c>
      <c r="DC145" s="60"/>
      <c r="DD145" s="69"/>
      <c r="DE145" s="60"/>
      <c r="DF145" s="70"/>
      <c r="DG145" s="70"/>
      <c r="DH145" s="71"/>
      <c r="DI145" s="64">
        <v>17</v>
      </c>
      <c r="DJ145" s="35" t="s">
        <v>1012</v>
      </c>
      <c r="DK145" s="61">
        <v>4000</v>
      </c>
      <c r="DL145" s="61">
        <v>6000</v>
      </c>
      <c r="DM145" s="72"/>
      <c r="DN145" s="64">
        <v>1.0900000000000001</v>
      </c>
      <c r="DO145" s="72"/>
      <c r="DP145" s="64"/>
      <c r="DQ145" s="72"/>
      <c r="DR145" s="64"/>
      <c r="DS145" s="70">
        <v>5</v>
      </c>
      <c r="DT145" s="36" t="s">
        <v>541</v>
      </c>
      <c r="DU145" s="66"/>
      <c r="DV145" s="62"/>
      <c r="DW145" s="62"/>
      <c r="DX145" s="73">
        <v>42681</v>
      </c>
      <c r="DY145" s="4" t="s">
        <v>1013</v>
      </c>
      <c r="DZ145" s="74" t="s">
        <v>1014</v>
      </c>
      <c r="EA145" s="241" t="s">
        <v>1015</v>
      </c>
    </row>
    <row r="146" spans="1:131" x14ac:dyDescent="0.4">
      <c r="A146" s="4" t="s">
        <v>40</v>
      </c>
      <c r="B146" s="5" t="s">
        <v>312</v>
      </c>
      <c r="C146" s="8">
        <v>32.854999999999997</v>
      </c>
      <c r="D146" s="8">
        <v>-97.051000000000002</v>
      </c>
      <c r="E146" s="7" t="s">
        <v>295</v>
      </c>
      <c r="F146" s="5" t="s">
        <v>296</v>
      </c>
      <c r="G146" s="7" t="s">
        <v>307</v>
      </c>
      <c r="H146" s="4" t="s">
        <v>116</v>
      </c>
      <c r="I146" s="52"/>
      <c r="J146" s="53"/>
      <c r="K146" s="36"/>
      <c r="L146" s="38"/>
      <c r="M146" s="54"/>
      <c r="N146" s="103">
        <v>0.04</v>
      </c>
      <c r="O146" s="102">
        <v>0.04</v>
      </c>
      <c r="P146" s="57">
        <v>1.0000000000000001E-15</v>
      </c>
      <c r="Q146" s="57">
        <v>4.9999999999999999E-13</v>
      </c>
      <c r="R146" s="60">
        <f>AVERAGE(P146,Q146)</f>
        <v>2.5049999999999999E-13</v>
      </c>
      <c r="S146" s="54"/>
      <c r="T146" s="55"/>
      <c r="U146" s="56"/>
      <c r="V146" s="55"/>
      <c r="W146" s="55"/>
      <c r="X146" s="56"/>
      <c r="Y146" s="54"/>
      <c r="Z146" s="56"/>
      <c r="AA146" s="54"/>
      <c r="AB146" s="56"/>
      <c r="AC146" s="54"/>
      <c r="AD146" s="56"/>
      <c r="AE146" s="54"/>
      <c r="AF146" s="56"/>
      <c r="AG146" s="55"/>
      <c r="AH146" s="56"/>
      <c r="AI146" s="54"/>
      <c r="AJ146" s="56"/>
      <c r="AK146" s="55"/>
      <c r="AL146" s="56"/>
      <c r="AM146" s="54"/>
      <c r="AN146" s="56"/>
      <c r="AO146" s="59"/>
      <c r="AP146" s="60"/>
      <c r="AQ146" s="61"/>
      <c r="AR146" s="62"/>
      <c r="AS146" s="38" t="s">
        <v>552</v>
      </c>
      <c r="AT146" s="63">
        <v>2.5999999999999999E-2</v>
      </c>
      <c r="AU146" s="64">
        <v>0</v>
      </c>
      <c r="AV146" s="64">
        <f>AT146*CU146+AU146</f>
        <v>85.8</v>
      </c>
      <c r="AW146" s="53">
        <f>AT146*CV146+AU146</f>
        <v>109.19999999999999</v>
      </c>
      <c r="AX146" s="65">
        <v>2.3650000000000001E-2</v>
      </c>
      <c r="AY146" s="64">
        <v>0</v>
      </c>
      <c r="AZ146" s="64">
        <f>AX146*CU146+AY146</f>
        <v>78.045000000000002</v>
      </c>
      <c r="BA146" s="53">
        <f>AX146*CV146+AY146</f>
        <v>99.33</v>
      </c>
      <c r="BB146" s="63">
        <v>1.4200000000000001E-2</v>
      </c>
      <c r="BC146" s="64">
        <v>0</v>
      </c>
      <c r="BD146" s="64">
        <f>BB146*CU146+BC146</f>
        <v>46.86</v>
      </c>
      <c r="BE146" s="53">
        <f>BB146*CV146+BC146</f>
        <v>59.64</v>
      </c>
      <c r="BF146" s="36"/>
      <c r="BG146" s="38" t="s">
        <v>744</v>
      </c>
      <c r="BH146" s="63">
        <v>1.0500000000000001E-2</v>
      </c>
      <c r="BI146" s="64">
        <v>0</v>
      </c>
      <c r="BJ146" s="64">
        <f>BH146*CU146+BI146</f>
        <v>34.650000000000006</v>
      </c>
      <c r="BK146" s="53">
        <f>BH146*CV146+BI146</f>
        <v>44.1</v>
      </c>
      <c r="BL146" s="66"/>
      <c r="BM146" s="62"/>
      <c r="BN146" s="37" t="s">
        <v>764</v>
      </c>
      <c r="BO146" s="38"/>
      <c r="BP146" s="36"/>
      <c r="BQ146" s="38"/>
      <c r="BR146" s="37"/>
      <c r="BS146" s="38"/>
      <c r="BT146" s="35" t="s">
        <v>1016</v>
      </c>
      <c r="BU146" s="38" t="s">
        <v>552</v>
      </c>
      <c r="BV146" s="66"/>
      <c r="BW146" s="62"/>
      <c r="BX146" s="66"/>
      <c r="BY146" s="62"/>
      <c r="BZ146" s="67"/>
      <c r="CA146" s="61"/>
      <c r="CB146" s="62"/>
      <c r="CC146" s="37"/>
      <c r="CD146" s="38"/>
      <c r="CE146" s="64"/>
      <c r="CF146" s="53"/>
      <c r="CG146" s="37"/>
      <c r="CH146" s="38"/>
      <c r="CI146" s="36"/>
      <c r="CJ146" s="38"/>
      <c r="CK146" s="37"/>
      <c r="CL146" s="38"/>
      <c r="CM146" s="36"/>
      <c r="CN146" s="38"/>
      <c r="CO146" s="37"/>
      <c r="CP146" s="38"/>
      <c r="CQ146" s="37"/>
      <c r="CR146" s="38"/>
      <c r="CS146" s="37"/>
      <c r="CT146" s="38"/>
      <c r="CU146" s="66">
        <v>3300</v>
      </c>
      <c r="CV146" s="61">
        <v>4200</v>
      </c>
      <c r="CW146" s="35"/>
      <c r="CX146" s="68">
        <v>39703</v>
      </c>
      <c r="CY146" s="37"/>
      <c r="CZ146" s="35"/>
      <c r="DA146" s="60">
        <v>2.061E-2</v>
      </c>
      <c r="DB146" s="69">
        <v>3100000</v>
      </c>
      <c r="DC146" s="60"/>
      <c r="DD146" s="69"/>
      <c r="DE146" s="60"/>
      <c r="DF146" s="70">
        <v>13.6</v>
      </c>
      <c r="DG146" s="70"/>
      <c r="DH146" s="71">
        <v>39751</v>
      </c>
      <c r="DI146" s="64"/>
      <c r="DJ146" s="35" t="s">
        <v>1017</v>
      </c>
      <c r="DK146" s="61">
        <v>4400</v>
      </c>
      <c r="DL146" s="61">
        <v>4800</v>
      </c>
      <c r="DM146" s="72"/>
      <c r="DN146" s="64"/>
      <c r="DO146" s="72"/>
      <c r="DP146" s="64">
        <v>1.43</v>
      </c>
      <c r="DQ146" s="72"/>
      <c r="DR146" s="64">
        <v>1.17</v>
      </c>
      <c r="DS146" s="70">
        <v>3.3</v>
      </c>
      <c r="DT146" s="36" t="s">
        <v>1018</v>
      </c>
      <c r="DU146" s="66"/>
      <c r="DV146" s="62">
        <v>8000</v>
      </c>
      <c r="DW146" s="62">
        <v>1000</v>
      </c>
      <c r="DX146" s="73">
        <v>39949</v>
      </c>
      <c r="DY146" s="114" t="s">
        <v>1019</v>
      </c>
      <c r="DZ146" s="74" t="s">
        <v>1020</v>
      </c>
      <c r="EA146" s="241" t="s">
        <v>1021</v>
      </c>
    </row>
    <row r="147" spans="1:131" x14ac:dyDescent="0.4">
      <c r="A147" s="34" t="s">
        <v>40</v>
      </c>
      <c r="B147" s="33" t="s">
        <v>313</v>
      </c>
      <c r="C147" s="8">
        <v>33.207422000000001</v>
      </c>
      <c r="D147" s="8">
        <v>-92.665604000000002</v>
      </c>
      <c r="E147" s="7" t="s">
        <v>295</v>
      </c>
      <c r="F147" s="5" t="s">
        <v>296</v>
      </c>
      <c r="G147" s="7" t="s">
        <v>314</v>
      </c>
      <c r="H147" s="34" t="s">
        <v>315</v>
      </c>
      <c r="I147" s="52"/>
      <c r="J147" s="53"/>
      <c r="K147" s="36"/>
      <c r="L147" s="38"/>
      <c r="M147" s="54"/>
      <c r="N147" s="55"/>
      <c r="O147" s="56"/>
      <c r="P147" s="36"/>
      <c r="Q147" s="36"/>
      <c r="R147" s="38"/>
      <c r="S147" s="54"/>
      <c r="T147" s="55"/>
      <c r="U147" s="56"/>
      <c r="V147" s="55"/>
      <c r="W147" s="55"/>
      <c r="X147" s="56"/>
      <c r="Y147" s="54"/>
      <c r="Z147" s="56"/>
      <c r="AA147" s="54"/>
      <c r="AB147" s="56"/>
      <c r="AC147" s="54"/>
      <c r="AD147" s="56"/>
      <c r="AE147" s="54"/>
      <c r="AF147" s="56"/>
      <c r="AG147" s="55"/>
      <c r="AH147" s="56"/>
      <c r="AI147" s="54"/>
      <c r="AJ147" s="56"/>
      <c r="AK147" s="55"/>
      <c r="AL147" s="56"/>
      <c r="AM147" s="54"/>
      <c r="AN147" s="56"/>
      <c r="AO147" s="59"/>
      <c r="AP147" s="60"/>
      <c r="AQ147" s="61"/>
      <c r="AR147" s="62"/>
      <c r="AS147" s="38" t="s">
        <v>535</v>
      </c>
      <c r="AT147" s="63">
        <v>2.4E-2</v>
      </c>
      <c r="AU147" s="64">
        <v>2</v>
      </c>
      <c r="AV147" s="64">
        <f>PRODUCT(AT147,CU147)+AU147</f>
        <v>54.800000000000004</v>
      </c>
      <c r="AW147" s="197">
        <f>PRODUCT(AT147,CV147)+AU147</f>
        <v>56</v>
      </c>
      <c r="AX147" s="65">
        <v>2.4E-2</v>
      </c>
      <c r="AY147" s="64">
        <v>7.5</v>
      </c>
      <c r="AZ147" s="64">
        <f>PRODUCT(AX147,CU147)+AY147</f>
        <v>60.300000000000004</v>
      </c>
      <c r="BA147" s="53">
        <f>PRODUCT(AX147,CV147)+AY147</f>
        <v>61.5</v>
      </c>
      <c r="BB147" s="63">
        <v>1.6E-2</v>
      </c>
      <c r="BC147" s="64">
        <v>2</v>
      </c>
      <c r="BD147" s="192">
        <f>PRODUCT(BB147,CU147)+BC147</f>
        <v>37.200000000000003</v>
      </c>
      <c r="BE147" s="197">
        <f>PRODUCT(BB147,CV147)+BC147</f>
        <v>38</v>
      </c>
      <c r="BF147" s="36"/>
      <c r="BG147" s="38"/>
      <c r="BH147" s="63">
        <v>1.04E-2</v>
      </c>
      <c r="BI147" s="64">
        <v>0</v>
      </c>
      <c r="BJ147" s="192">
        <f>PRODUCT(BH147,CU147)</f>
        <v>22.88</v>
      </c>
      <c r="BK147" s="53">
        <f>PRODUCT(BH147,CV147)</f>
        <v>23.4</v>
      </c>
      <c r="BL147" s="66"/>
      <c r="BM147" s="62"/>
      <c r="BN147" s="37" t="s">
        <v>1022</v>
      </c>
      <c r="BO147" s="38"/>
      <c r="BP147" s="36">
        <v>45</v>
      </c>
      <c r="BQ147" s="38">
        <v>50</v>
      </c>
      <c r="BR147" s="37" t="s">
        <v>675</v>
      </c>
      <c r="BS147" s="38"/>
      <c r="BT147" s="35" t="s">
        <v>1023</v>
      </c>
      <c r="BU147" s="38" t="s">
        <v>552</v>
      </c>
      <c r="BV147" s="66"/>
      <c r="BW147" s="62"/>
      <c r="BX147" s="66"/>
      <c r="BY147" s="62"/>
      <c r="BZ147" s="67">
        <v>200</v>
      </c>
      <c r="CA147" s="61"/>
      <c r="CB147" s="62"/>
      <c r="CC147" s="37"/>
      <c r="CD147" s="38"/>
      <c r="CE147" s="64"/>
      <c r="CF147" s="53"/>
      <c r="CG147" s="37"/>
      <c r="CH147" s="38"/>
      <c r="CI147" s="36"/>
      <c r="CJ147" s="38"/>
      <c r="CK147" s="37"/>
      <c r="CL147" s="38"/>
      <c r="CM147" s="36"/>
      <c r="CN147" s="38"/>
      <c r="CO147" s="37"/>
      <c r="CP147" s="38"/>
      <c r="CQ147" s="37"/>
      <c r="CR147" s="38"/>
      <c r="CS147" s="37"/>
      <c r="CT147" s="38"/>
      <c r="CU147" s="189">
        <v>2200</v>
      </c>
      <c r="CV147" s="61">
        <v>2250</v>
      </c>
      <c r="CW147" s="35" t="s">
        <v>982</v>
      </c>
      <c r="CX147" s="68">
        <v>30317</v>
      </c>
      <c r="CY147" s="37" t="s">
        <v>983</v>
      </c>
      <c r="CZ147" s="35"/>
      <c r="DA147" s="60">
        <v>2.0449999999999999E-2</v>
      </c>
      <c r="DB147" s="69">
        <v>20352000</v>
      </c>
      <c r="DC147" s="60"/>
      <c r="DD147" s="69"/>
      <c r="DE147" s="60">
        <v>20352000</v>
      </c>
      <c r="DF147" s="191">
        <v>6</v>
      </c>
      <c r="DG147" s="70"/>
      <c r="DH147" s="71">
        <v>30659</v>
      </c>
      <c r="DI147" s="192">
        <v>330</v>
      </c>
      <c r="DJ147" s="193" t="s">
        <v>1024</v>
      </c>
      <c r="DK147" s="118">
        <v>1600</v>
      </c>
      <c r="DL147" s="61">
        <v>4800</v>
      </c>
      <c r="DM147" s="72"/>
      <c r="DN147" s="64"/>
      <c r="DO147" s="72"/>
      <c r="DP147" s="64"/>
      <c r="DQ147" s="72"/>
      <c r="DR147" s="64"/>
      <c r="DS147" s="191">
        <v>3</v>
      </c>
      <c r="DT147" s="126" t="s">
        <v>581</v>
      </c>
      <c r="DU147" s="194"/>
      <c r="DV147" s="62">
        <v>3000</v>
      </c>
      <c r="DW147" s="198"/>
      <c r="DX147" s="73">
        <v>30659</v>
      </c>
      <c r="DY147" s="4" t="s">
        <v>1025</v>
      </c>
      <c r="DZ147" s="195" t="s">
        <v>1026</v>
      </c>
      <c r="EA147" s="248" t="s">
        <v>1027</v>
      </c>
    </row>
    <row r="148" spans="1:131" x14ac:dyDescent="0.4">
      <c r="A148" s="4" t="s">
        <v>40</v>
      </c>
      <c r="B148" s="5" t="s">
        <v>316</v>
      </c>
      <c r="C148" s="8">
        <v>36.479999999999997</v>
      </c>
      <c r="D148" s="8">
        <v>-98.73</v>
      </c>
      <c r="E148" s="7" t="s">
        <v>295</v>
      </c>
      <c r="F148" s="5" t="s">
        <v>296</v>
      </c>
      <c r="G148" s="7" t="s">
        <v>317</v>
      </c>
      <c r="H148" s="4" t="s">
        <v>311</v>
      </c>
      <c r="I148" s="196"/>
      <c r="J148" s="53"/>
      <c r="K148" s="36">
        <v>2670</v>
      </c>
      <c r="L148" s="38"/>
      <c r="M148" s="54">
        <v>2.7E-2</v>
      </c>
      <c r="N148" s="55">
        <v>0.2</v>
      </c>
      <c r="O148" s="56">
        <f>AVERAGE(M148,N148)</f>
        <v>0.1135</v>
      </c>
      <c r="P148" s="59">
        <v>6.6E-15</v>
      </c>
      <c r="Q148" s="59">
        <v>1E-13</v>
      </c>
      <c r="R148" s="60">
        <f>AVERAGE(P148,Q148)</f>
        <v>5.3300000000000004E-14</v>
      </c>
      <c r="S148" s="54">
        <v>53.4</v>
      </c>
      <c r="T148" s="55">
        <v>85.5</v>
      </c>
      <c r="U148" s="56">
        <v>65.7</v>
      </c>
      <c r="V148" s="55">
        <v>0.23</v>
      </c>
      <c r="W148" s="55">
        <v>0.34</v>
      </c>
      <c r="X148" s="56">
        <v>0.28000000000000003</v>
      </c>
      <c r="Y148" s="54">
        <v>32.96</v>
      </c>
      <c r="Z148" s="56">
        <v>89.06</v>
      </c>
      <c r="AA148" s="54">
        <v>21.71</v>
      </c>
      <c r="AB148" s="56">
        <v>31.9</v>
      </c>
      <c r="AC148" s="54">
        <v>0.3</v>
      </c>
      <c r="AD148" s="56"/>
      <c r="AE148" s="54">
        <v>38.5</v>
      </c>
      <c r="AF148" s="56">
        <v>47</v>
      </c>
      <c r="AG148" s="55">
        <v>17</v>
      </c>
      <c r="AH148" s="56">
        <v>51</v>
      </c>
      <c r="AI148" s="54">
        <v>86</v>
      </c>
      <c r="AJ148" s="56">
        <v>237</v>
      </c>
      <c r="AK148" s="55"/>
      <c r="AL148" s="56"/>
      <c r="AM148" s="54"/>
      <c r="AN148" s="56"/>
      <c r="AO148" s="59"/>
      <c r="AP148" s="60"/>
      <c r="AQ148" s="61"/>
      <c r="AR148" s="62"/>
      <c r="AS148" s="38" t="s">
        <v>535</v>
      </c>
      <c r="AT148" s="63">
        <v>2.5000000000000001E-2</v>
      </c>
      <c r="AU148" s="64">
        <v>0</v>
      </c>
      <c r="AV148" s="64">
        <v>125</v>
      </c>
      <c r="AW148" s="53"/>
      <c r="AX148" s="65">
        <v>0.03</v>
      </c>
      <c r="AY148" s="64">
        <v>0</v>
      </c>
      <c r="AZ148" s="64">
        <v>150</v>
      </c>
      <c r="BA148" s="53"/>
      <c r="BB148" s="63">
        <v>1.5599999999999999E-2</v>
      </c>
      <c r="BC148" s="64">
        <v>0</v>
      </c>
      <c r="BD148" s="64">
        <v>78</v>
      </c>
      <c r="BE148" s="53"/>
      <c r="BF148" s="36" t="s">
        <v>1009</v>
      </c>
      <c r="BG148" s="38"/>
      <c r="BH148" s="63">
        <v>9.5999999999999992E-3</v>
      </c>
      <c r="BI148" s="64">
        <v>0</v>
      </c>
      <c r="BJ148" s="64">
        <v>48</v>
      </c>
      <c r="BK148" s="53"/>
      <c r="BL148" s="66"/>
      <c r="BM148" s="62"/>
      <c r="BN148" s="37" t="s">
        <v>800</v>
      </c>
      <c r="BO148" s="38"/>
      <c r="BP148" s="36">
        <v>70</v>
      </c>
      <c r="BQ148" s="38"/>
      <c r="BR148" s="37" t="s">
        <v>850</v>
      </c>
      <c r="BS148" s="38"/>
      <c r="BT148" s="35" t="s">
        <v>1028</v>
      </c>
      <c r="BU148" s="38" t="s">
        <v>535</v>
      </c>
      <c r="BV148" s="66"/>
      <c r="BW148" s="62"/>
      <c r="BX148" s="66"/>
      <c r="BY148" s="62"/>
      <c r="BZ148" s="67"/>
      <c r="CA148" s="61"/>
      <c r="CB148" s="62"/>
      <c r="CC148" s="37"/>
      <c r="CD148" s="38"/>
      <c r="CE148" s="64"/>
      <c r="CF148" s="53"/>
      <c r="CG148" s="37"/>
      <c r="CH148" s="38"/>
      <c r="CI148" s="36"/>
      <c r="CJ148" s="38"/>
      <c r="CK148" s="37"/>
      <c r="CL148" s="38"/>
      <c r="CM148" s="36"/>
      <c r="CN148" s="38"/>
      <c r="CO148" s="37"/>
      <c r="CP148" s="38"/>
      <c r="CQ148" s="37"/>
      <c r="CR148" s="38"/>
      <c r="CS148" s="37"/>
      <c r="CT148" s="38"/>
      <c r="CU148" s="66">
        <v>2000</v>
      </c>
      <c r="CV148" s="61">
        <v>2500</v>
      </c>
      <c r="CW148" s="35" t="s">
        <v>1011</v>
      </c>
      <c r="CX148" s="68">
        <v>1990</v>
      </c>
      <c r="CY148" s="37" t="s">
        <v>1029</v>
      </c>
      <c r="CZ148" s="35">
        <v>100</v>
      </c>
      <c r="DA148" s="60">
        <v>0.9385</v>
      </c>
      <c r="DB148" s="69">
        <v>3550000</v>
      </c>
      <c r="DC148" s="60"/>
      <c r="DD148" s="69"/>
      <c r="DE148" s="60"/>
      <c r="DF148" s="70">
        <v>2</v>
      </c>
      <c r="DG148" s="70"/>
      <c r="DH148" s="71"/>
      <c r="DI148" s="64"/>
      <c r="DJ148" s="35" t="s">
        <v>1030</v>
      </c>
      <c r="DK148" s="61">
        <v>6000</v>
      </c>
      <c r="DL148" s="61">
        <v>9000</v>
      </c>
      <c r="DM148" s="72"/>
      <c r="DN148" s="64">
        <v>1.0900000000000001</v>
      </c>
      <c r="DO148" s="72"/>
      <c r="DP148" s="64"/>
      <c r="DQ148" s="72"/>
      <c r="DR148" s="64"/>
      <c r="DS148" s="70">
        <v>5.0999999999999996</v>
      </c>
      <c r="DT148" s="36" t="s">
        <v>541</v>
      </c>
      <c r="DU148" s="66"/>
      <c r="DV148" s="62">
        <v>9100</v>
      </c>
      <c r="DW148" s="62"/>
      <c r="DX148" s="73">
        <v>42413</v>
      </c>
      <c r="DY148" s="4" t="s">
        <v>1031</v>
      </c>
      <c r="DZ148" s="74" t="s">
        <v>1032</v>
      </c>
      <c r="EA148" s="241" t="s">
        <v>1033</v>
      </c>
    </row>
    <row r="149" spans="1:131" x14ac:dyDescent="0.4">
      <c r="A149" s="34" t="s">
        <v>40</v>
      </c>
      <c r="B149" s="33" t="s">
        <v>318</v>
      </c>
      <c r="C149" s="8">
        <v>35.771411000000001</v>
      </c>
      <c r="D149" s="8">
        <v>-97.519630000000006</v>
      </c>
      <c r="E149" s="7" t="s">
        <v>295</v>
      </c>
      <c r="F149" s="5" t="s">
        <v>296</v>
      </c>
      <c r="G149" s="7" t="s">
        <v>310</v>
      </c>
      <c r="H149" s="34" t="s">
        <v>116</v>
      </c>
      <c r="I149" s="52"/>
      <c r="J149" s="53"/>
      <c r="K149" s="36"/>
      <c r="L149" s="38"/>
      <c r="M149" s="54"/>
      <c r="N149" s="55"/>
      <c r="O149" s="56">
        <v>0.2</v>
      </c>
      <c r="P149" s="59">
        <v>1.0000000000000001E-15</v>
      </c>
      <c r="Q149" s="59">
        <v>1E-13</v>
      </c>
      <c r="R149" s="60">
        <f>AVERAGE(P149,Q149)</f>
        <v>5.0499999999999999E-14</v>
      </c>
      <c r="S149" s="54"/>
      <c r="T149" s="55"/>
      <c r="U149" s="56"/>
      <c r="V149" s="55"/>
      <c r="W149" s="55"/>
      <c r="X149" s="56"/>
      <c r="Y149" s="54"/>
      <c r="Z149" s="56"/>
      <c r="AA149" s="54"/>
      <c r="AB149" s="56"/>
      <c r="AC149" s="37"/>
      <c r="AD149" s="38"/>
      <c r="AE149" s="37"/>
      <c r="AF149" s="38"/>
      <c r="AG149" s="36"/>
      <c r="AH149" s="38"/>
      <c r="AI149" s="37"/>
      <c r="AJ149" s="38"/>
      <c r="AK149" s="36"/>
      <c r="AL149" s="38"/>
      <c r="AM149" s="37"/>
      <c r="AN149" s="38"/>
      <c r="AO149" s="59"/>
      <c r="AP149" s="60"/>
      <c r="AQ149" s="61"/>
      <c r="AR149" s="62"/>
      <c r="AS149" s="38" t="s">
        <v>535</v>
      </c>
      <c r="AT149" s="63"/>
      <c r="AU149" s="64"/>
      <c r="AV149" s="64"/>
      <c r="AW149" s="53"/>
      <c r="AX149" s="65"/>
      <c r="AY149" s="64"/>
      <c r="AZ149" s="64"/>
      <c r="BA149" s="53"/>
      <c r="BB149" s="63"/>
      <c r="BC149" s="64"/>
      <c r="BD149" s="64"/>
      <c r="BE149" s="53"/>
      <c r="BF149" s="36" t="s">
        <v>1034</v>
      </c>
      <c r="BG149" s="38"/>
      <c r="BH149" s="63"/>
      <c r="BI149" s="64"/>
      <c r="BJ149" s="64"/>
      <c r="BK149" s="53"/>
      <c r="BL149" s="66"/>
      <c r="BM149" s="62"/>
      <c r="BN149" s="37" t="s">
        <v>1035</v>
      </c>
      <c r="BO149" s="38"/>
      <c r="BP149" s="36"/>
      <c r="BQ149" s="38">
        <v>81</v>
      </c>
      <c r="BR149" s="37"/>
      <c r="BS149" s="38"/>
      <c r="BT149" s="35"/>
      <c r="BU149" s="38" t="s">
        <v>535</v>
      </c>
      <c r="BV149" s="66"/>
      <c r="BW149" s="62"/>
      <c r="BX149" s="66"/>
      <c r="BY149" s="62"/>
      <c r="BZ149" s="67"/>
      <c r="CA149" s="61"/>
      <c r="CB149" s="62"/>
      <c r="CC149" s="37"/>
      <c r="CD149" s="38"/>
      <c r="CE149" s="64"/>
      <c r="CF149" s="53"/>
      <c r="CG149" s="37"/>
      <c r="CH149" s="38"/>
      <c r="CI149" s="36"/>
      <c r="CJ149" s="38"/>
      <c r="CK149" s="37"/>
      <c r="CL149" s="38"/>
      <c r="CM149" s="36"/>
      <c r="CN149" s="38"/>
      <c r="CO149" s="37"/>
      <c r="CP149" s="38"/>
      <c r="CQ149" s="37"/>
      <c r="CR149" s="38"/>
      <c r="CS149" s="37"/>
      <c r="CT149" s="38"/>
      <c r="CU149" s="189">
        <v>1860</v>
      </c>
      <c r="CV149" s="61">
        <v>2400</v>
      </c>
      <c r="CW149" s="7" t="s">
        <v>1036</v>
      </c>
      <c r="CX149" s="68">
        <v>40179</v>
      </c>
      <c r="CY149" s="5" t="s">
        <v>1037</v>
      </c>
      <c r="CZ149" s="35" t="s">
        <v>732</v>
      </c>
      <c r="DA149" s="60">
        <v>2.7779999999999999E-2</v>
      </c>
      <c r="DB149" s="69">
        <v>710000</v>
      </c>
      <c r="DC149" s="60"/>
      <c r="DD149" s="69"/>
      <c r="DE149" s="60"/>
      <c r="DF149" s="191"/>
      <c r="DG149" s="70"/>
      <c r="DH149" s="71"/>
      <c r="DI149" s="192"/>
      <c r="DJ149" s="193">
        <v>38962</v>
      </c>
      <c r="DK149" s="118">
        <v>3000</v>
      </c>
      <c r="DL149" s="61">
        <v>8000</v>
      </c>
      <c r="DM149" s="72"/>
      <c r="DN149" s="64"/>
      <c r="DO149" s="72"/>
      <c r="DP149" s="64">
        <v>1.1000000000000001</v>
      </c>
      <c r="DQ149" s="72"/>
      <c r="DR149" s="64"/>
      <c r="DS149" s="191">
        <v>4</v>
      </c>
      <c r="DT149" s="126" t="s">
        <v>541</v>
      </c>
      <c r="DU149" s="194"/>
      <c r="DV149" s="62">
        <v>6300</v>
      </c>
      <c r="DW149" s="198"/>
      <c r="DX149" s="73">
        <v>42102</v>
      </c>
      <c r="DY149" s="4" t="s">
        <v>1038</v>
      </c>
      <c r="DZ149" s="195" t="s">
        <v>1039</v>
      </c>
      <c r="EA149" s="248" t="s">
        <v>1040</v>
      </c>
    </row>
    <row r="150" spans="1:131" x14ac:dyDescent="0.4">
      <c r="A150" s="4" t="s">
        <v>40</v>
      </c>
      <c r="B150" s="5" t="s">
        <v>319</v>
      </c>
      <c r="C150" s="8">
        <v>35.565689999999996</v>
      </c>
      <c r="D150" s="8">
        <v>-97.286403000000007</v>
      </c>
      <c r="E150" s="7" t="s">
        <v>295</v>
      </c>
      <c r="F150" s="5" t="s">
        <v>296</v>
      </c>
      <c r="G150" s="7" t="s">
        <v>320</v>
      </c>
      <c r="H150" s="4" t="s">
        <v>321</v>
      </c>
      <c r="I150" s="52"/>
      <c r="J150" s="53"/>
      <c r="K150" s="36">
        <v>2680</v>
      </c>
      <c r="L150" s="38"/>
      <c r="M150" s="54">
        <v>7.3999999999999996E-2</v>
      </c>
      <c r="N150" s="55">
        <v>0.87</v>
      </c>
      <c r="O150" s="56">
        <f>AVERAGE(M150,N150)</f>
        <v>0.47199999999999998</v>
      </c>
      <c r="P150" s="36"/>
      <c r="Q150" s="36"/>
      <c r="R150" s="38"/>
      <c r="S150" s="54">
        <v>60.14</v>
      </c>
      <c r="T150" s="55">
        <v>82.21</v>
      </c>
      <c r="U150" s="56">
        <v>71</v>
      </c>
      <c r="V150" s="55">
        <v>0.24</v>
      </c>
      <c r="W150" s="55">
        <v>0.34</v>
      </c>
      <c r="X150" s="56">
        <v>0.3</v>
      </c>
      <c r="Y150" s="54">
        <f>S150/3/(1-2*X150)</f>
        <v>50.116666666666667</v>
      </c>
      <c r="Z150" s="56">
        <f>T150/3/(1-2*X150)</f>
        <v>68.508333333333326</v>
      </c>
      <c r="AA150" s="54">
        <f>S150/2/(1+X150)</f>
        <v>23.130769230769229</v>
      </c>
      <c r="AB150" s="56">
        <f>T150/2/(1+X150)</f>
        <v>31.619230769230764</v>
      </c>
      <c r="AC150" s="54"/>
      <c r="AD150" s="56"/>
      <c r="AE150" s="54">
        <v>39</v>
      </c>
      <c r="AF150" s="56">
        <v>49</v>
      </c>
      <c r="AG150" s="55">
        <v>17</v>
      </c>
      <c r="AH150" s="56">
        <v>48</v>
      </c>
      <c r="AI150" s="54">
        <v>114</v>
      </c>
      <c r="AJ150" s="56">
        <v>237</v>
      </c>
      <c r="AK150" s="55"/>
      <c r="AL150" s="56"/>
      <c r="AM150" s="54"/>
      <c r="AN150" s="56"/>
      <c r="AO150" s="59"/>
      <c r="AP150" s="60"/>
      <c r="AQ150" s="61">
        <v>2600</v>
      </c>
      <c r="AR150" s="62"/>
      <c r="AS150" s="38" t="s">
        <v>535</v>
      </c>
      <c r="AT150" s="63"/>
      <c r="AU150" s="64"/>
      <c r="AV150" s="64"/>
      <c r="AW150" s="53"/>
      <c r="AX150" s="65"/>
      <c r="AY150" s="64"/>
      <c r="AZ150" s="64"/>
      <c r="BA150" s="53"/>
      <c r="BB150" s="63"/>
      <c r="BC150" s="64"/>
      <c r="BD150" s="64"/>
      <c r="BE150" s="53"/>
      <c r="BF150" s="36"/>
      <c r="BG150" s="38"/>
      <c r="BH150" s="63"/>
      <c r="BI150" s="64"/>
      <c r="BJ150" s="64"/>
      <c r="BK150" s="53"/>
      <c r="BL150" s="66"/>
      <c r="BM150" s="62"/>
      <c r="BN150" s="37"/>
      <c r="BO150" s="38" t="s">
        <v>1041</v>
      </c>
      <c r="BP150" s="36">
        <v>80</v>
      </c>
      <c r="BQ150" s="38">
        <v>90</v>
      </c>
      <c r="BR150" s="37"/>
      <c r="BS150" s="38"/>
      <c r="BT150" s="35"/>
      <c r="BU150" s="38" t="s">
        <v>535</v>
      </c>
      <c r="BV150" s="66"/>
      <c r="BW150" s="62"/>
      <c r="BX150" s="66"/>
      <c r="BY150" s="62"/>
      <c r="BZ150" s="67"/>
      <c r="CA150" s="61"/>
      <c r="CB150" s="62"/>
      <c r="CC150" s="37"/>
      <c r="CD150" s="38"/>
      <c r="CE150" s="64"/>
      <c r="CF150" s="53"/>
      <c r="CG150" s="37"/>
      <c r="CH150" s="38"/>
      <c r="CI150" s="36"/>
      <c r="CJ150" s="38"/>
      <c r="CK150" s="37"/>
      <c r="CL150" s="38"/>
      <c r="CM150" s="36"/>
      <c r="CN150" s="38"/>
      <c r="CO150" s="37"/>
      <c r="CP150" s="38"/>
      <c r="CQ150" s="37"/>
      <c r="CR150" s="38"/>
      <c r="CS150" s="37"/>
      <c r="CT150" s="38"/>
      <c r="CU150" s="66">
        <v>2200</v>
      </c>
      <c r="CV150" s="61">
        <v>3500</v>
      </c>
      <c r="CW150" s="35" t="s">
        <v>982</v>
      </c>
      <c r="CX150" s="68">
        <v>38353</v>
      </c>
      <c r="CY150" s="37" t="s">
        <v>983</v>
      </c>
      <c r="CZ150" s="35"/>
      <c r="DA150" s="60">
        <v>0.12268999999999999</v>
      </c>
      <c r="DB150" s="69">
        <v>47700000</v>
      </c>
      <c r="DC150" s="60"/>
      <c r="DD150" s="69">
        <v>47700000</v>
      </c>
      <c r="DE150" s="60"/>
      <c r="DF150" s="70">
        <v>4.2</v>
      </c>
      <c r="DG150" s="70"/>
      <c r="DH150" s="71">
        <v>39448</v>
      </c>
      <c r="DI150" s="64">
        <v>1095</v>
      </c>
      <c r="DJ150" s="35" t="s">
        <v>1042</v>
      </c>
      <c r="DK150" s="61">
        <v>2000</v>
      </c>
      <c r="DL150" s="61">
        <v>5000</v>
      </c>
      <c r="DM150" s="72"/>
      <c r="DN150" s="64"/>
      <c r="DO150" s="72"/>
      <c r="DP150" s="64">
        <v>1.32</v>
      </c>
      <c r="DQ150" s="72"/>
      <c r="DR150" s="64"/>
      <c r="DS150" s="70">
        <v>4</v>
      </c>
      <c r="DT150" s="36" t="s">
        <v>541</v>
      </c>
      <c r="DU150" s="66"/>
      <c r="DV150" s="62"/>
      <c r="DW150" s="62">
        <v>20000</v>
      </c>
      <c r="DX150" s="73">
        <v>40193</v>
      </c>
      <c r="DY150" s="4" t="s">
        <v>1043</v>
      </c>
      <c r="DZ150" s="74" t="s">
        <v>1044</v>
      </c>
      <c r="EA150" s="241" t="s">
        <v>1045</v>
      </c>
    </row>
    <row r="151" spans="1:131" x14ac:dyDescent="0.4">
      <c r="A151" s="4" t="s">
        <v>40</v>
      </c>
      <c r="B151" s="5" t="s">
        <v>322</v>
      </c>
      <c r="C151" s="8">
        <v>35.452452999999998</v>
      </c>
      <c r="D151" s="8">
        <v>-118.99171</v>
      </c>
      <c r="E151" s="7" t="s">
        <v>295</v>
      </c>
      <c r="F151" s="5" t="s">
        <v>296</v>
      </c>
      <c r="G151" s="7"/>
      <c r="H151" s="4"/>
      <c r="I151" s="52"/>
      <c r="J151" s="53"/>
      <c r="K151" s="36"/>
      <c r="L151" s="38"/>
      <c r="M151" s="54"/>
      <c r="N151" s="55"/>
      <c r="O151" s="56"/>
      <c r="P151" s="36"/>
      <c r="Q151" s="36"/>
      <c r="R151" s="38"/>
      <c r="S151" s="54"/>
      <c r="T151" s="55"/>
      <c r="U151" s="56"/>
      <c r="V151" s="55"/>
      <c r="W151" s="55"/>
      <c r="X151" s="56"/>
      <c r="Y151" s="54"/>
      <c r="Z151" s="56"/>
      <c r="AA151" s="54"/>
      <c r="AB151" s="56"/>
      <c r="AC151" s="54"/>
      <c r="AD151" s="56"/>
      <c r="AE151" s="54"/>
      <c r="AF151" s="56"/>
      <c r="AG151" s="55"/>
      <c r="AH151" s="56"/>
      <c r="AI151" s="54"/>
      <c r="AJ151" s="56"/>
      <c r="AK151" s="55"/>
      <c r="AL151" s="56"/>
      <c r="AM151" s="54"/>
      <c r="AN151" s="56"/>
      <c r="AO151" s="59"/>
      <c r="AP151" s="60"/>
      <c r="AQ151" s="61"/>
      <c r="AR151" s="62"/>
      <c r="AS151" s="38"/>
      <c r="AT151" s="63"/>
      <c r="AU151" s="64"/>
      <c r="AV151" s="64"/>
      <c r="AW151" s="53"/>
      <c r="AX151" s="65"/>
      <c r="AY151" s="64"/>
      <c r="AZ151" s="64"/>
      <c r="BA151" s="53"/>
      <c r="BB151" s="63"/>
      <c r="BC151" s="64"/>
      <c r="BD151" s="64"/>
      <c r="BE151" s="53"/>
      <c r="BF151" s="36"/>
      <c r="BG151" s="38"/>
      <c r="BH151" s="63"/>
      <c r="BI151" s="64"/>
      <c r="BJ151" s="64"/>
      <c r="BK151" s="53"/>
      <c r="BL151" s="66"/>
      <c r="BM151" s="62"/>
      <c r="BN151" s="37"/>
      <c r="BO151" s="38"/>
      <c r="BP151" s="36"/>
      <c r="BQ151" s="38"/>
      <c r="BR151" s="37"/>
      <c r="BS151" s="38"/>
      <c r="BT151" s="35"/>
      <c r="BU151" s="38"/>
      <c r="BV151" s="66"/>
      <c r="BW151" s="62"/>
      <c r="BX151" s="66"/>
      <c r="BY151" s="62"/>
      <c r="BZ151" s="67"/>
      <c r="CA151" s="61"/>
      <c r="CB151" s="62"/>
      <c r="CC151" s="37"/>
      <c r="CD151" s="38"/>
      <c r="CE151" s="64"/>
      <c r="CF151" s="53"/>
      <c r="CG151" s="37"/>
      <c r="CH151" s="38"/>
      <c r="CI151" s="36"/>
      <c r="CJ151" s="38"/>
      <c r="CK151" s="37"/>
      <c r="CL151" s="38"/>
      <c r="CM151" s="36"/>
      <c r="CN151" s="38"/>
      <c r="CO151" s="37"/>
      <c r="CP151" s="38"/>
      <c r="CQ151" s="37"/>
      <c r="CR151" s="38"/>
      <c r="CS151" s="37"/>
      <c r="CT151" s="38"/>
      <c r="CU151" s="66"/>
      <c r="CV151" s="61"/>
      <c r="CW151" s="35"/>
      <c r="CX151" s="68"/>
      <c r="CY151" s="37"/>
      <c r="CZ151" s="35"/>
      <c r="DA151" s="60">
        <v>6.4710000000000004E-2</v>
      </c>
      <c r="DB151" s="69"/>
      <c r="DC151" s="60"/>
      <c r="DD151" s="69"/>
      <c r="DE151" s="60"/>
      <c r="DF151" s="70"/>
      <c r="DG151" s="70"/>
      <c r="DH151" s="71"/>
      <c r="DI151" s="64"/>
      <c r="DJ151" s="35"/>
      <c r="DK151" s="61"/>
      <c r="DL151" s="61"/>
      <c r="DM151" s="72"/>
      <c r="DN151" s="64"/>
      <c r="DO151" s="72"/>
      <c r="DP151" s="64"/>
      <c r="DQ151" s="72"/>
      <c r="DR151" s="64"/>
      <c r="DS151" s="70">
        <v>4.5999999999999996</v>
      </c>
      <c r="DT151" s="36" t="s">
        <v>581</v>
      </c>
      <c r="DU151" s="66"/>
      <c r="DV151" s="62"/>
      <c r="DW151" s="62"/>
      <c r="DX151" s="73"/>
      <c r="DY151" s="114"/>
      <c r="DZ151" s="74"/>
      <c r="EA151" s="241" t="s">
        <v>1046</v>
      </c>
    </row>
    <row r="152" spans="1:131" x14ac:dyDescent="0.4">
      <c r="A152" s="4" t="s">
        <v>40</v>
      </c>
      <c r="B152" s="5" t="s">
        <v>323</v>
      </c>
      <c r="C152" s="8">
        <v>31.716999999999999</v>
      </c>
      <c r="D152" s="8">
        <v>-104.042</v>
      </c>
      <c r="E152" s="7" t="s">
        <v>295</v>
      </c>
      <c r="F152" s="5" t="s">
        <v>296</v>
      </c>
      <c r="G152" s="7" t="s">
        <v>307</v>
      </c>
      <c r="H152" s="4" t="s">
        <v>116</v>
      </c>
      <c r="I152" s="52"/>
      <c r="J152" s="53"/>
      <c r="K152" s="36"/>
      <c r="L152" s="38"/>
      <c r="M152" s="54"/>
      <c r="N152" s="55"/>
      <c r="O152" s="56">
        <v>0.04</v>
      </c>
      <c r="P152" s="59">
        <v>2.9999999999999998E-14</v>
      </c>
      <c r="Q152" s="59">
        <v>1E-13</v>
      </c>
      <c r="R152" s="60">
        <v>6.7599999999999997E-14</v>
      </c>
      <c r="S152" s="54"/>
      <c r="T152" s="55"/>
      <c r="U152" s="56">
        <v>30.5</v>
      </c>
      <c r="V152" s="55"/>
      <c r="W152" s="55"/>
      <c r="X152" s="56">
        <v>0.26</v>
      </c>
      <c r="Y152" s="54"/>
      <c r="Z152" s="56"/>
      <c r="AA152" s="54"/>
      <c r="AB152" s="56">
        <v>12.1</v>
      </c>
      <c r="AC152" s="54">
        <v>0.71</v>
      </c>
      <c r="AD152" s="56"/>
      <c r="AE152" s="54"/>
      <c r="AF152" s="56"/>
      <c r="AG152" s="55"/>
      <c r="AH152" s="56"/>
      <c r="AI152" s="54"/>
      <c r="AJ152" s="56"/>
      <c r="AK152" s="55"/>
      <c r="AL152" s="56"/>
      <c r="AM152" s="54"/>
      <c r="AN152" s="56"/>
      <c r="AO152" s="59"/>
      <c r="AP152" s="60"/>
      <c r="AQ152" s="61">
        <v>5000</v>
      </c>
      <c r="AR152" s="62"/>
      <c r="AS152" s="38" t="s">
        <v>552</v>
      </c>
      <c r="AT152" s="63"/>
      <c r="AU152" s="64"/>
      <c r="AV152" s="64"/>
      <c r="AW152" s="53"/>
      <c r="AX152" s="65"/>
      <c r="AY152" s="64"/>
      <c r="AZ152" s="64"/>
      <c r="BA152" s="53"/>
      <c r="BB152" s="63"/>
      <c r="BC152" s="64"/>
      <c r="BD152" s="64"/>
      <c r="BE152" s="53"/>
      <c r="BF152" s="36"/>
      <c r="BG152" s="38"/>
      <c r="BH152" s="63"/>
      <c r="BI152" s="64"/>
      <c r="BJ152" s="64"/>
      <c r="BK152" s="53"/>
      <c r="BL152" s="66"/>
      <c r="BM152" s="62"/>
      <c r="BN152" s="37" t="s">
        <v>1047</v>
      </c>
      <c r="BO152" s="38"/>
      <c r="BP152" s="36">
        <v>56</v>
      </c>
      <c r="BQ152" s="38"/>
      <c r="BR152" s="37"/>
      <c r="BS152" s="38"/>
      <c r="BT152" s="35"/>
      <c r="BU152" s="38" t="s">
        <v>552</v>
      </c>
      <c r="BV152" s="66"/>
      <c r="BW152" s="62"/>
      <c r="BX152" s="66"/>
      <c r="BY152" s="62"/>
      <c r="BZ152" s="67"/>
      <c r="CA152" s="61"/>
      <c r="CB152" s="62"/>
      <c r="CC152" s="37"/>
      <c r="CD152" s="38"/>
      <c r="CE152" s="64"/>
      <c r="CF152" s="53"/>
      <c r="CG152" s="37"/>
      <c r="CH152" s="38"/>
      <c r="CI152" s="36"/>
      <c r="CJ152" s="38"/>
      <c r="CK152" s="37"/>
      <c r="CL152" s="38"/>
      <c r="CM152" s="36"/>
      <c r="CN152" s="38"/>
      <c r="CO152" s="37"/>
      <c r="CP152" s="38"/>
      <c r="CQ152" s="37"/>
      <c r="CR152" s="38"/>
      <c r="CS152" s="37"/>
      <c r="CT152" s="38"/>
      <c r="CU152" s="66">
        <v>4700</v>
      </c>
      <c r="CV152" s="61">
        <v>5100</v>
      </c>
      <c r="CW152" s="35" t="s">
        <v>1048</v>
      </c>
      <c r="CX152" s="68">
        <v>40909</v>
      </c>
      <c r="CY152" s="37" t="s">
        <v>983</v>
      </c>
      <c r="CZ152" s="35"/>
      <c r="DA152" s="60">
        <v>0.10598</v>
      </c>
      <c r="DB152" s="69">
        <v>20453100.149999999</v>
      </c>
      <c r="DC152" s="60"/>
      <c r="DD152" s="69"/>
      <c r="DE152" s="60"/>
      <c r="DF152" s="70"/>
      <c r="DG152" s="70"/>
      <c r="DH152" s="71">
        <v>43466</v>
      </c>
      <c r="DI152" s="64">
        <v>2555</v>
      </c>
      <c r="DJ152" s="35" t="s">
        <v>1049</v>
      </c>
      <c r="DK152" s="61">
        <v>5000</v>
      </c>
      <c r="DL152" s="61"/>
      <c r="DM152" s="72"/>
      <c r="DN152" s="64"/>
      <c r="DO152" s="72"/>
      <c r="DP152" s="64"/>
      <c r="DQ152" s="72"/>
      <c r="DR152" s="64"/>
      <c r="DS152" s="70">
        <v>5</v>
      </c>
      <c r="DT152" s="36" t="s">
        <v>541</v>
      </c>
      <c r="DU152" s="66"/>
      <c r="DV152" s="62">
        <v>6200</v>
      </c>
      <c r="DW152" s="62"/>
      <c r="DX152" s="73">
        <v>43916</v>
      </c>
      <c r="DY152" s="4" t="s">
        <v>1050</v>
      </c>
      <c r="DZ152" s="74" t="s">
        <v>1051</v>
      </c>
      <c r="EA152" s="241" t="s">
        <v>1052</v>
      </c>
    </row>
    <row r="153" spans="1:131" x14ac:dyDescent="0.4">
      <c r="A153" s="4" t="s">
        <v>40</v>
      </c>
      <c r="B153" s="17" t="s">
        <v>324</v>
      </c>
      <c r="C153" s="8">
        <v>41.65</v>
      </c>
      <c r="D153" s="8">
        <v>-81.162001000000004</v>
      </c>
      <c r="E153" s="7" t="s">
        <v>295</v>
      </c>
      <c r="F153" s="5" t="s">
        <v>296</v>
      </c>
      <c r="G153" s="14" t="s">
        <v>304</v>
      </c>
      <c r="H153" s="21" t="s">
        <v>23</v>
      </c>
      <c r="I153" s="52"/>
      <c r="J153" s="53"/>
      <c r="K153" s="36"/>
      <c r="L153" s="38"/>
      <c r="M153" s="101">
        <v>9.4E-2</v>
      </c>
      <c r="N153" s="103">
        <v>0.10299999999999999</v>
      </c>
      <c r="O153" s="102">
        <f>AVERAGE(M153,N153)</f>
        <v>9.8500000000000004E-2</v>
      </c>
      <c r="P153" s="36"/>
      <c r="Q153" s="57">
        <v>1E-13</v>
      </c>
      <c r="R153" s="60">
        <f>Q153</f>
        <v>1E-13</v>
      </c>
      <c r="S153" s="54"/>
      <c r="T153" s="103">
        <v>62</v>
      </c>
      <c r="U153" s="102">
        <v>62</v>
      </c>
      <c r="V153" s="103">
        <v>0.19</v>
      </c>
      <c r="W153" s="55"/>
      <c r="X153" s="56">
        <v>0.19</v>
      </c>
      <c r="Y153" s="54"/>
      <c r="Z153" s="56">
        <f>T153/(3*(1-2*W153))</f>
        <v>20.666666666666668</v>
      </c>
      <c r="AA153" s="54"/>
      <c r="AB153" s="56">
        <f>T153/(2*(1+W153))</f>
        <v>31</v>
      </c>
      <c r="AC153" s="54"/>
      <c r="AD153" s="56"/>
      <c r="AE153" s="54"/>
      <c r="AF153" s="56"/>
      <c r="AG153" s="55"/>
      <c r="AH153" s="56"/>
      <c r="AI153" s="54"/>
      <c r="AJ153" s="56"/>
      <c r="AK153" s="55"/>
      <c r="AL153" s="56"/>
      <c r="AM153" s="54"/>
      <c r="AN153" s="56"/>
      <c r="AO153" s="59"/>
      <c r="AP153" s="60"/>
      <c r="AQ153" s="104"/>
      <c r="AR153" s="105"/>
      <c r="AS153" s="100" t="s">
        <v>620</v>
      </c>
      <c r="AT153" s="106">
        <v>2.5999999999999999E-2</v>
      </c>
      <c r="AU153" s="107">
        <v>0</v>
      </c>
      <c r="AV153" s="64">
        <f>PRODUCT(AT153,CU153)</f>
        <v>46.8</v>
      </c>
      <c r="AW153" s="53"/>
      <c r="AX153" s="108">
        <v>2.4879999999999999E-2</v>
      </c>
      <c r="AY153" s="107">
        <v>0</v>
      </c>
      <c r="AZ153" s="64">
        <f>PRODUCT(AX153,CU153)</f>
        <v>44.783999999999999</v>
      </c>
      <c r="BA153" s="53"/>
      <c r="BB153" s="106">
        <v>1.5800000000000002E-2</v>
      </c>
      <c r="BC153" s="107">
        <v>0</v>
      </c>
      <c r="BD153" s="64">
        <f>PRODUCT(BB153,CU153)</f>
        <v>28.44</v>
      </c>
      <c r="BE153" s="53"/>
      <c r="BF153" s="99" t="s">
        <v>912</v>
      </c>
      <c r="BG153" s="38"/>
      <c r="BH153" s="106">
        <v>1.018E-2</v>
      </c>
      <c r="BI153" s="107">
        <v>0</v>
      </c>
      <c r="BJ153" s="64">
        <f>PRODUCT(BH153,CU153)</f>
        <v>18.323999999999998</v>
      </c>
      <c r="BK153" s="53"/>
      <c r="BL153" s="66"/>
      <c r="BM153" s="62"/>
      <c r="BN153" s="37"/>
      <c r="BO153" s="38"/>
      <c r="BP153" s="36"/>
      <c r="BQ153" s="38"/>
      <c r="BR153" s="37"/>
      <c r="BS153" s="38"/>
      <c r="BT153" s="35"/>
      <c r="BU153" s="38"/>
      <c r="BV153" s="66"/>
      <c r="BW153" s="62"/>
      <c r="BX153" s="66"/>
      <c r="BY153" s="62"/>
      <c r="BZ153" s="67"/>
      <c r="CA153" s="61"/>
      <c r="CB153" s="62"/>
      <c r="CC153" s="37"/>
      <c r="CD153" s="38"/>
      <c r="CE153" s="64"/>
      <c r="CF153" s="53"/>
      <c r="CG153" s="37"/>
      <c r="CH153" s="38"/>
      <c r="CI153" s="36"/>
      <c r="CJ153" s="38"/>
      <c r="CK153" s="37"/>
      <c r="CL153" s="38"/>
      <c r="CM153" s="36"/>
      <c r="CN153" s="38"/>
      <c r="CO153" s="37"/>
      <c r="CP153" s="38"/>
      <c r="CQ153" s="37"/>
      <c r="CR153" s="38"/>
      <c r="CS153" s="37"/>
      <c r="CT153" s="38"/>
      <c r="CU153" s="66">
        <v>1800</v>
      </c>
      <c r="CV153" s="61"/>
      <c r="CW153" s="35"/>
      <c r="CX153" s="68">
        <v>27454</v>
      </c>
      <c r="CY153" s="37"/>
      <c r="CZ153" s="35"/>
      <c r="DA153" s="60">
        <v>5.3E-3</v>
      </c>
      <c r="DB153" s="69">
        <v>1190000</v>
      </c>
      <c r="DC153" s="60"/>
      <c r="DD153" s="69"/>
      <c r="DE153" s="60"/>
      <c r="DF153" s="70">
        <v>11.2</v>
      </c>
      <c r="DG153" s="70"/>
      <c r="DH153" s="71">
        <v>31443</v>
      </c>
      <c r="DI153" s="64"/>
      <c r="DJ153" s="35" t="s">
        <v>1053</v>
      </c>
      <c r="DK153" s="61">
        <v>2000</v>
      </c>
      <c r="DL153" s="61">
        <v>6100</v>
      </c>
      <c r="DM153" s="72"/>
      <c r="DN153" s="64"/>
      <c r="DO153" s="72"/>
      <c r="DP153" s="64"/>
      <c r="DQ153" s="72"/>
      <c r="DR153" s="64"/>
      <c r="DS153" s="70">
        <v>4.9000000000000004</v>
      </c>
      <c r="DT153" s="36" t="s">
        <v>541</v>
      </c>
      <c r="DU153" s="66"/>
      <c r="DV153" s="62">
        <v>3250</v>
      </c>
      <c r="DW153" s="105">
        <v>12000</v>
      </c>
      <c r="DX153" s="73">
        <v>31443</v>
      </c>
      <c r="DY153" s="114"/>
      <c r="DZ153" s="74"/>
      <c r="EA153" s="241" t="s">
        <v>1054</v>
      </c>
    </row>
    <row r="154" spans="1:131" x14ac:dyDescent="0.4">
      <c r="A154" s="4" t="s">
        <v>40</v>
      </c>
      <c r="B154" s="17" t="s">
        <v>325</v>
      </c>
      <c r="C154" s="8">
        <v>38.296546999999997</v>
      </c>
      <c r="D154" s="8">
        <v>-108.895006</v>
      </c>
      <c r="E154" s="7" t="s">
        <v>295</v>
      </c>
      <c r="F154" s="5" t="s">
        <v>296</v>
      </c>
      <c r="G154" s="14" t="s">
        <v>326</v>
      </c>
      <c r="H154" s="4" t="s">
        <v>327</v>
      </c>
      <c r="I154" s="52"/>
      <c r="J154" s="142">
        <v>5</v>
      </c>
      <c r="K154" s="36"/>
      <c r="L154" s="38"/>
      <c r="M154" s="54"/>
      <c r="N154" s="103">
        <v>0.06</v>
      </c>
      <c r="O154" s="102">
        <f>AVERAGE(M154,N154)</f>
        <v>0.06</v>
      </c>
      <c r="P154" s="57">
        <v>1.9000000000000001E-15</v>
      </c>
      <c r="Q154" s="36"/>
      <c r="R154" s="60">
        <f>AVERAGE(P154,Q154)</f>
        <v>1.9000000000000001E-15</v>
      </c>
      <c r="S154" s="54">
        <v>20</v>
      </c>
      <c r="T154" s="55">
        <v>50</v>
      </c>
      <c r="U154" s="56">
        <v>35</v>
      </c>
      <c r="V154" s="55">
        <v>0.2</v>
      </c>
      <c r="W154" s="55">
        <v>0.35</v>
      </c>
      <c r="X154" s="56">
        <v>0.27500000000000002</v>
      </c>
      <c r="Y154" s="54">
        <f>S154/(3*(1-2*V154))</f>
        <v>11.111111111111112</v>
      </c>
      <c r="Z154" s="56">
        <f>T154/(3*(1-2*W154))</f>
        <v>55.55555555555555</v>
      </c>
      <c r="AA154" s="54">
        <f>S154/(2*(1+V154))</f>
        <v>8.3333333333333339</v>
      </c>
      <c r="AB154" s="56">
        <f>T154/(2*(1+W154))</f>
        <v>18.518518518518519</v>
      </c>
      <c r="AC154" s="54"/>
      <c r="AD154" s="56"/>
      <c r="AE154" s="101">
        <v>40</v>
      </c>
      <c r="AF154" s="56"/>
      <c r="AG154" s="103">
        <v>21</v>
      </c>
      <c r="AH154" s="56"/>
      <c r="AI154" s="54"/>
      <c r="AJ154" s="56"/>
      <c r="AK154" s="103">
        <v>10</v>
      </c>
      <c r="AL154" s="56"/>
      <c r="AM154" s="54"/>
      <c r="AN154" s="56"/>
      <c r="AO154" s="59"/>
      <c r="AP154" s="60"/>
      <c r="AQ154" s="104"/>
      <c r="AR154" s="105"/>
      <c r="AS154" s="100" t="s">
        <v>535</v>
      </c>
      <c r="AT154" s="106">
        <v>2.4119999999999999E-2</v>
      </c>
      <c r="AU154" s="107">
        <v>0</v>
      </c>
      <c r="AV154" s="64">
        <f>PRODUCT(AT154,CU154)</f>
        <v>103.71599999999999</v>
      </c>
      <c r="AW154" s="53">
        <f>PRODUCT(AT154,CV154)</f>
        <v>115.776</v>
      </c>
      <c r="AX154" s="108">
        <v>2.4119999999999999E-2</v>
      </c>
      <c r="AY154" s="107">
        <v>0</v>
      </c>
      <c r="AZ154" s="64">
        <f>PRODUCT(AX154,CU154)</f>
        <v>103.71599999999999</v>
      </c>
      <c r="BA154" s="53">
        <f>PRODUCT(AX154,CV154)</f>
        <v>115.776</v>
      </c>
      <c r="BB154" s="106">
        <v>1.6185999999999999E-2</v>
      </c>
      <c r="BC154" s="107">
        <v>0</v>
      </c>
      <c r="BD154" s="64">
        <f>PRODUCT(BB154,CU154)</f>
        <v>69.599800000000002</v>
      </c>
      <c r="BE154" s="53">
        <f>PRODUCT(BB154,CV154)</f>
        <v>77.692799999999991</v>
      </c>
      <c r="BF154" s="99" t="s">
        <v>1055</v>
      </c>
      <c r="BG154" s="38"/>
      <c r="BH154" s="106">
        <v>1.014E-2</v>
      </c>
      <c r="BI154" s="107">
        <v>0</v>
      </c>
      <c r="BJ154" s="64">
        <f>PRODUCT(BH154,CU154)</f>
        <v>43.601999999999997</v>
      </c>
      <c r="BK154" s="53">
        <f>PRODUCT(BH154,CV154)</f>
        <v>48.671999999999997</v>
      </c>
      <c r="BL154" s="66"/>
      <c r="BM154" s="62"/>
      <c r="BN154" s="37"/>
      <c r="BO154" s="38"/>
      <c r="BP154" s="99">
        <v>65</v>
      </c>
      <c r="BQ154" s="100">
        <v>90</v>
      </c>
      <c r="BR154" s="37"/>
      <c r="BS154" s="38"/>
      <c r="BT154" s="35"/>
      <c r="BU154" s="38"/>
      <c r="BV154" s="66"/>
      <c r="BW154" s="62"/>
      <c r="BX154" s="66"/>
      <c r="BY154" s="62"/>
      <c r="BZ154" s="67"/>
      <c r="CA154" s="61"/>
      <c r="CB154" s="62"/>
      <c r="CC154" s="37"/>
      <c r="CD154" s="38"/>
      <c r="CE154" s="64"/>
      <c r="CF154" s="53"/>
      <c r="CG154" s="37"/>
      <c r="CH154" s="38"/>
      <c r="CI154" s="36"/>
      <c r="CJ154" s="38"/>
      <c r="CK154" s="37"/>
      <c r="CL154" s="38"/>
      <c r="CM154" s="36"/>
      <c r="CN154" s="38"/>
      <c r="CO154" s="37"/>
      <c r="CP154" s="38"/>
      <c r="CQ154" s="37"/>
      <c r="CR154" s="38"/>
      <c r="CS154" s="37"/>
      <c r="CT154" s="38"/>
      <c r="CU154" s="66">
        <v>4300</v>
      </c>
      <c r="CV154" s="104">
        <v>4800</v>
      </c>
      <c r="CW154" s="35"/>
      <c r="CX154" s="68">
        <v>35186</v>
      </c>
      <c r="CY154" s="37"/>
      <c r="CZ154" s="35"/>
      <c r="DA154" s="60">
        <v>2.1499999999999998E-2</v>
      </c>
      <c r="DB154" s="112">
        <v>3287000</v>
      </c>
      <c r="DC154" s="60"/>
      <c r="DD154" s="69"/>
      <c r="DE154" s="60"/>
      <c r="DF154" s="70">
        <v>34.5</v>
      </c>
      <c r="DG154" s="116">
        <v>81.400000000000006</v>
      </c>
      <c r="DH154" s="132">
        <v>35278</v>
      </c>
      <c r="DI154" s="64">
        <v>111</v>
      </c>
      <c r="DJ154" s="35" t="s">
        <v>1056</v>
      </c>
      <c r="DK154" s="61">
        <v>3500</v>
      </c>
      <c r="DL154" s="61">
        <v>6000</v>
      </c>
      <c r="DM154" s="72"/>
      <c r="DN154" s="64"/>
      <c r="DO154" s="72"/>
      <c r="DP154" s="107">
        <v>0.87</v>
      </c>
      <c r="DQ154" s="72"/>
      <c r="DR154" s="107">
        <v>0.61</v>
      </c>
      <c r="DS154" s="70">
        <v>4.3</v>
      </c>
      <c r="DT154" s="36" t="s">
        <v>581</v>
      </c>
      <c r="DU154" s="66"/>
      <c r="DV154" s="62"/>
      <c r="DW154" s="62"/>
      <c r="DX154" s="73">
        <v>36673</v>
      </c>
      <c r="DY154" s="114"/>
      <c r="DZ154" s="74"/>
      <c r="EA154" s="241" t="s">
        <v>1057</v>
      </c>
    </row>
    <row r="155" spans="1:131" x14ac:dyDescent="0.4">
      <c r="A155" s="4" t="s">
        <v>40</v>
      </c>
      <c r="B155" s="5" t="s">
        <v>328</v>
      </c>
      <c r="C155" s="8">
        <v>36.430999999999997</v>
      </c>
      <c r="D155" s="8">
        <v>-96.930999999999997</v>
      </c>
      <c r="E155" s="7" t="s">
        <v>295</v>
      </c>
      <c r="F155" s="5" t="s">
        <v>296</v>
      </c>
      <c r="G155" s="7" t="s">
        <v>310</v>
      </c>
      <c r="H155" s="4" t="s">
        <v>329</v>
      </c>
      <c r="I155" s="196"/>
      <c r="J155" s="53"/>
      <c r="K155" s="36">
        <v>2670</v>
      </c>
      <c r="L155" s="38"/>
      <c r="M155" s="54">
        <v>2.7E-2</v>
      </c>
      <c r="N155" s="55"/>
      <c r="O155" s="56">
        <v>2.7E-2</v>
      </c>
      <c r="P155" s="36"/>
      <c r="Q155" s="59">
        <v>1E-13</v>
      </c>
      <c r="R155" s="60">
        <f>Q155</f>
        <v>1E-13</v>
      </c>
      <c r="S155" s="54">
        <v>53.4</v>
      </c>
      <c r="T155" s="55"/>
      <c r="U155" s="56">
        <v>53.4</v>
      </c>
      <c r="V155" s="55">
        <v>0.23</v>
      </c>
      <c r="W155" s="55"/>
      <c r="X155" s="56">
        <v>0.23</v>
      </c>
      <c r="Y155" s="54"/>
      <c r="Z155" s="56"/>
      <c r="AA155" s="54"/>
      <c r="AB155" s="56"/>
      <c r="AC155" s="54"/>
      <c r="AD155" s="56"/>
      <c r="AE155" s="54"/>
      <c r="AF155" s="56"/>
      <c r="AG155" s="55"/>
      <c r="AH155" s="56"/>
      <c r="AI155" s="54"/>
      <c r="AJ155" s="56"/>
      <c r="AK155" s="55"/>
      <c r="AL155" s="56"/>
      <c r="AM155" s="54"/>
      <c r="AN155" s="56"/>
      <c r="AO155" s="59"/>
      <c r="AP155" s="60"/>
      <c r="AQ155" s="61"/>
      <c r="AR155" s="62"/>
      <c r="AS155" s="38" t="s">
        <v>535</v>
      </c>
      <c r="AT155" s="63">
        <v>2.5000000000000001E-2</v>
      </c>
      <c r="AU155" s="64">
        <v>0</v>
      </c>
      <c r="AV155" s="64">
        <v>125</v>
      </c>
      <c r="AW155" s="53"/>
      <c r="AX155" s="63">
        <v>0.03</v>
      </c>
      <c r="AY155" s="64">
        <v>0</v>
      </c>
      <c r="AZ155" s="64">
        <v>150</v>
      </c>
      <c r="BA155" s="53"/>
      <c r="BB155" s="63">
        <v>1.5599999999999999E-2</v>
      </c>
      <c r="BC155" s="64">
        <v>0</v>
      </c>
      <c r="BD155" s="64">
        <v>78</v>
      </c>
      <c r="BE155" s="53"/>
      <c r="BF155" s="36" t="s">
        <v>1009</v>
      </c>
      <c r="BG155" s="38"/>
      <c r="BH155" s="63">
        <v>9.5999999999999992E-3</v>
      </c>
      <c r="BI155" s="64">
        <v>0</v>
      </c>
      <c r="BJ155" s="64">
        <v>48</v>
      </c>
      <c r="BK155" s="53"/>
      <c r="BL155" s="66"/>
      <c r="BM155" s="62"/>
      <c r="BN155" s="37" t="s">
        <v>1058</v>
      </c>
      <c r="BO155" s="38"/>
      <c r="BP155" s="36">
        <v>90</v>
      </c>
      <c r="BQ155" s="38"/>
      <c r="BR155" s="37"/>
      <c r="BS155" s="38"/>
      <c r="BT155" s="35" t="s">
        <v>1059</v>
      </c>
      <c r="BU155" s="38" t="s">
        <v>535</v>
      </c>
      <c r="BV155" s="66"/>
      <c r="BW155" s="62"/>
      <c r="BX155" s="66"/>
      <c r="BY155" s="62"/>
      <c r="BZ155" s="67"/>
      <c r="CA155" s="61"/>
      <c r="CB155" s="62"/>
      <c r="CC155" s="37"/>
      <c r="CD155" s="38"/>
      <c r="CE155" s="64"/>
      <c r="CF155" s="53"/>
      <c r="CG155" s="37"/>
      <c r="CH155" s="38"/>
      <c r="CI155" s="36"/>
      <c r="CJ155" s="38"/>
      <c r="CK155" s="37"/>
      <c r="CL155" s="38"/>
      <c r="CM155" s="36"/>
      <c r="CN155" s="38"/>
      <c r="CO155" s="37"/>
      <c r="CP155" s="38"/>
      <c r="CQ155" s="37"/>
      <c r="CR155" s="38"/>
      <c r="CS155" s="37"/>
      <c r="CT155" s="38"/>
      <c r="CU155" s="66">
        <v>1250</v>
      </c>
      <c r="CV155" s="61">
        <v>2250</v>
      </c>
      <c r="CW155" s="35" t="s">
        <v>1011</v>
      </c>
      <c r="CX155" s="68">
        <v>38718</v>
      </c>
      <c r="CY155" s="37"/>
      <c r="CZ155" s="35"/>
      <c r="DA155" s="60"/>
      <c r="DB155" s="69">
        <v>8840000</v>
      </c>
      <c r="DC155" s="60"/>
      <c r="DD155" s="69"/>
      <c r="DE155" s="60"/>
      <c r="DF155" s="70"/>
      <c r="DG155" s="70"/>
      <c r="DH155" s="71"/>
      <c r="DI155" s="64"/>
      <c r="DJ155" s="35"/>
      <c r="DK155" s="61"/>
      <c r="DL155" s="61"/>
      <c r="DM155" s="72"/>
      <c r="DN155" s="64">
        <v>1.0900000000000001</v>
      </c>
      <c r="DO155" s="72"/>
      <c r="DP155" s="64"/>
      <c r="DQ155" s="72"/>
      <c r="DR155" s="64"/>
      <c r="DS155" s="70">
        <v>5.8</v>
      </c>
      <c r="DT155" s="36" t="s">
        <v>541</v>
      </c>
      <c r="DU155" s="66"/>
      <c r="DV155" s="62">
        <v>5600</v>
      </c>
      <c r="DW155" s="62"/>
      <c r="DX155" s="73">
        <v>42616</v>
      </c>
      <c r="DY155" s="4" t="s">
        <v>1060</v>
      </c>
      <c r="DZ155" s="74" t="s">
        <v>732</v>
      </c>
      <c r="EA155" s="241" t="s">
        <v>1061</v>
      </c>
    </row>
    <row r="156" spans="1:131" ht="23.15" x14ac:dyDescent="0.4">
      <c r="A156" s="4" t="s">
        <v>40</v>
      </c>
      <c r="B156" s="5" t="s">
        <v>330</v>
      </c>
      <c r="C156" s="8">
        <v>35.561824000000001</v>
      </c>
      <c r="D156" s="8">
        <v>-96.749797000000001</v>
      </c>
      <c r="E156" s="7" t="s">
        <v>295</v>
      </c>
      <c r="F156" s="5" t="s">
        <v>296</v>
      </c>
      <c r="G156" s="7" t="s">
        <v>310</v>
      </c>
      <c r="H156" s="4" t="s">
        <v>116</v>
      </c>
      <c r="I156" s="52"/>
      <c r="J156" s="53"/>
      <c r="K156" s="36">
        <v>2700</v>
      </c>
      <c r="L156" s="38"/>
      <c r="M156" s="54"/>
      <c r="N156" s="55"/>
      <c r="O156" s="56"/>
      <c r="P156" s="36"/>
      <c r="Q156" s="59">
        <v>1E-13</v>
      </c>
      <c r="R156" s="60">
        <f>Q156</f>
        <v>1E-13</v>
      </c>
      <c r="S156" s="54">
        <v>37.5</v>
      </c>
      <c r="T156" s="55"/>
      <c r="U156" s="56">
        <v>37.5</v>
      </c>
      <c r="V156" s="55">
        <v>0.25</v>
      </c>
      <c r="W156" s="55"/>
      <c r="X156" s="56">
        <v>0.25</v>
      </c>
      <c r="Y156" s="54">
        <v>25</v>
      </c>
      <c r="Z156" s="56"/>
      <c r="AA156" s="54">
        <v>15</v>
      </c>
      <c r="AB156" s="56"/>
      <c r="AC156" s="54"/>
      <c r="AD156" s="56"/>
      <c r="AE156" s="54"/>
      <c r="AF156" s="56"/>
      <c r="AG156" s="55"/>
      <c r="AH156" s="56"/>
      <c r="AI156" s="54"/>
      <c r="AJ156" s="56"/>
      <c r="AK156" s="55"/>
      <c r="AL156" s="56"/>
      <c r="AM156" s="54"/>
      <c r="AN156" s="56"/>
      <c r="AO156" s="59"/>
      <c r="AP156" s="60"/>
      <c r="AQ156" s="61"/>
      <c r="AR156" s="62"/>
      <c r="AS156" s="38" t="s">
        <v>535</v>
      </c>
      <c r="AT156" s="63">
        <v>2.1420000000000002E-2</v>
      </c>
      <c r="AU156" s="64">
        <v>0</v>
      </c>
      <c r="AV156" s="64">
        <v>45</v>
      </c>
      <c r="AW156" s="53"/>
      <c r="AX156" s="63">
        <v>7.1419999999999997E-2</v>
      </c>
      <c r="AY156" s="64">
        <v>0</v>
      </c>
      <c r="AZ156" s="64">
        <v>150</v>
      </c>
      <c r="BA156" s="53"/>
      <c r="BB156" s="63">
        <v>3.5709999999999999E-2</v>
      </c>
      <c r="BC156" s="64">
        <v>0</v>
      </c>
      <c r="BD156" s="64">
        <v>75</v>
      </c>
      <c r="BE156" s="53"/>
      <c r="BF156" s="36"/>
      <c r="BG156" s="38"/>
      <c r="BH156" s="65"/>
      <c r="BI156" s="64"/>
      <c r="BJ156" s="64"/>
      <c r="BK156" s="53"/>
      <c r="BL156" s="66"/>
      <c r="BM156" s="62"/>
      <c r="BN156" s="37" t="s">
        <v>1062</v>
      </c>
      <c r="BO156" s="38"/>
      <c r="BP156" s="36">
        <v>85</v>
      </c>
      <c r="BQ156" s="38"/>
      <c r="BR156" s="37" t="s">
        <v>613</v>
      </c>
      <c r="BS156" s="38"/>
      <c r="BT156" s="35" t="s">
        <v>1010</v>
      </c>
      <c r="BU156" s="38" t="s">
        <v>535</v>
      </c>
      <c r="BV156" s="66"/>
      <c r="BW156" s="62"/>
      <c r="BX156" s="66"/>
      <c r="BY156" s="62"/>
      <c r="BZ156" s="67"/>
      <c r="CA156" s="61"/>
      <c r="CB156" s="62"/>
      <c r="CC156" s="37"/>
      <c r="CD156" s="38"/>
      <c r="CE156" s="64"/>
      <c r="CF156" s="53"/>
      <c r="CG156" s="37"/>
      <c r="CH156" s="38"/>
      <c r="CI156" s="36"/>
      <c r="CJ156" s="38"/>
      <c r="CK156" s="37"/>
      <c r="CL156" s="38"/>
      <c r="CM156" s="36"/>
      <c r="CN156" s="38"/>
      <c r="CO156" s="37"/>
      <c r="CP156" s="38"/>
      <c r="CQ156" s="37"/>
      <c r="CR156" s="38"/>
      <c r="CS156" s="37"/>
      <c r="CT156" s="38"/>
      <c r="CU156" s="66">
        <v>1300</v>
      </c>
      <c r="CV156" s="61">
        <v>2100</v>
      </c>
      <c r="CW156" s="35" t="s">
        <v>1011</v>
      </c>
      <c r="CX156" s="68">
        <v>33970</v>
      </c>
      <c r="CY156" s="37"/>
      <c r="CZ156" s="35"/>
      <c r="DA156" s="60">
        <v>5.4000000000000001E-4</v>
      </c>
      <c r="DB156" s="69">
        <v>120000</v>
      </c>
      <c r="DC156" s="60"/>
      <c r="DD156" s="69"/>
      <c r="DE156" s="60"/>
      <c r="DF156" s="70">
        <v>3.6</v>
      </c>
      <c r="DG156" s="70"/>
      <c r="DH156" s="71">
        <v>40179</v>
      </c>
      <c r="DI156" s="64">
        <v>6205</v>
      </c>
      <c r="DJ156" s="35" t="s">
        <v>1063</v>
      </c>
      <c r="DK156" s="61"/>
      <c r="DL156" s="61">
        <v>5000</v>
      </c>
      <c r="DM156" s="72"/>
      <c r="DN156" s="64">
        <v>1.0900000000000001</v>
      </c>
      <c r="DO156" s="72"/>
      <c r="DP156" s="64"/>
      <c r="DQ156" s="72"/>
      <c r="DR156" s="64"/>
      <c r="DS156" s="70">
        <v>5.7</v>
      </c>
      <c r="DT156" s="36" t="s">
        <v>541</v>
      </c>
      <c r="DU156" s="66"/>
      <c r="DV156" s="62"/>
      <c r="DW156" s="62"/>
      <c r="DX156" s="73">
        <v>40853</v>
      </c>
      <c r="DY156" s="183" t="s">
        <v>1064</v>
      </c>
      <c r="DZ156" s="74" t="s">
        <v>732</v>
      </c>
      <c r="EA156" s="241" t="s">
        <v>1065</v>
      </c>
    </row>
    <row r="157" spans="1:131" x14ac:dyDescent="0.4">
      <c r="A157" s="4" t="s">
        <v>40</v>
      </c>
      <c r="B157" s="17" t="s">
        <v>331</v>
      </c>
      <c r="C157" s="8">
        <v>37.023280999999997</v>
      </c>
      <c r="D157" s="8">
        <v>-104.781255</v>
      </c>
      <c r="E157" s="7" t="s">
        <v>295</v>
      </c>
      <c r="F157" s="5" t="s">
        <v>296</v>
      </c>
      <c r="G157" s="14" t="s">
        <v>332</v>
      </c>
      <c r="H157" s="4" t="s">
        <v>23</v>
      </c>
      <c r="I157" s="52"/>
      <c r="J157" s="53"/>
      <c r="K157" s="36"/>
      <c r="L157" s="38"/>
      <c r="M157" s="54"/>
      <c r="N157" s="55"/>
      <c r="O157" s="56"/>
      <c r="P157" s="36"/>
      <c r="Q157" s="36"/>
      <c r="R157" s="38"/>
      <c r="S157" s="54"/>
      <c r="T157" s="55"/>
      <c r="U157" s="56"/>
      <c r="V157" s="55"/>
      <c r="W157" s="55"/>
      <c r="X157" s="56"/>
      <c r="Y157" s="54"/>
      <c r="Z157" s="56"/>
      <c r="AA157" s="54"/>
      <c r="AB157" s="56"/>
      <c r="AC157" s="54"/>
      <c r="AD157" s="56"/>
      <c r="AE157" s="54"/>
      <c r="AF157" s="56"/>
      <c r="AG157" s="55"/>
      <c r="AH157" s="56"/>
      <c r="AI157" s="54"/>
      <c r="AJ157" s="56"/>
      <c r="AK157" s="55"/>
      <c r="AL157" s="56"/>
      <c r="AM157" s="54"/>
      <c r="AN157" s="56"/>
      <c r="AO157" s="59"/>
      <c r="AP157" s="60"/>
      <c r="AQ157" s="61"/>
      <c r="AR157" s="62"/>
      <c r="AS157" s="38"/>
      <c r="AT157" s="63"/>
      <c r="AU157" s="64"/>
      <c r="AV157" s="64"/>
      <c r="AW157" s="53"/>
      <c r="AX157" s="65"/>
      <c r="AY157" s="64"/>
      <c r="AZ157" s="64"/>
      <c r="BA157" s="53"/>
      <c r="BB157" s="63"/>
      <c r="BC157" s="64"/>
      <c r="BD157" s="64"/>
      <c r="BE157" s="53"/>
      <c r="BF157" s="36"/>
      <c r="BG157" s="38"/>
      <c r="BH157" s="63"/>
      <c r="BI157" s="64"/>
      <c r="BJ157" s="64"/>
      <c r="BK157" s="53"/>
      <c r="BL157" s="66"/>
      <c r="BM157" s="62"/>
      <c r="BN157" s="37"/>
      <c r="BO157" s="38"/>
      <c r="BP157" s="36"/>
      <c r="BQ157" s="38"/>
      <c r="BR157" s="37"/>
      <c r="BS157" s="38"/>
      <c r="BT157" s="35"/>
      <c r="BU157" s="38"/>
      <c r="BV157" s="66"/>
      <c r="BW157" s="62"/>
      <c r="BX157" s="66"/>
      <c r="BY157" s="62"/>
      <c r="BZ157" s="67"/>
      <c r="CA157" s="61"/>
      <c r="CB157" s="62"/>
      <c r="CC157" s="37"/>
      <c r="CD157" s="38"/>
      <c r="CE157" s="64"/>
      <c r="CF157" s="53"/>
      <c r="CG157" s="37"/>
      <c r="CH157" s="38"/>
      <c r="CI157" s="36"/>
      <c r="CJ157" s="38"/>
      <c r="CK157" s="37"/>
      <c r="CL157" s="38"/>
      <c r="CM157" s="36"/>
      <c r="CN157" s="38"/>
      <c r="CO157" s="37"/>
      <c r="CP157" s="38"/>
      <c r="CQ157" s="37"/>
      <c r="CR157" s="38"/>
      <c r="CS157" s="37"/>
      <c r="CT157" s="38"/>
      <c r="CU157" s="66">
        <v>1250</v>
      </c>
      <c r="CV157" s="61">
        <v>2100</v>
      </c>
      <c r="CW157" s="35"/>
      <c r="CX157" s="68">
        <v>32143</v>
      </c>
      <c r="CY157" s="37"/>
      <c r="CZ157" s="35"/>
      <c r="DA157" s="60"/>
      <c r="DB157" s="112">
        <v>460000</v>
      </c>
      <c r="DC157" s="60"/>
      <c r="DD157" s="69"/>
      <c r="DE157" s="60"/>
      <c r="DF157" s="116">
        <v>0</v>
      </c>
      <c r="DG157" s="70"/>
      <c r="DH157" s="132">
        <v>37138</v>
      </c>
      <c r="DI157" s="64"/>
      <c r="DJ157" s="35"/>
      <c r="DK157" s="104">
        <v>1100</v>
      </c>
      <c r="DL157" s="104">
        <v>6100</v>
      </c>
      <c r="DM157" s="72"/>
      <c r="DN157" s="64"/>
      <c r="DO157" s="72"/>
      <c r="DP157" s="64"/>
      <c r="DQ157" s="72"/>
      <c r="DR157" s="64"/>
      <c r="DS157" s="185">
        <v>4.4000000000000004</v>
      </c>
      <c r="DT157" s="134" t="s">
        <v>541</v>
      </c>
      <c r="DU157" s="61"/>
      <c r="DV157" s="105">
        <v>2650</v>
      </c>
      <c r="DW157" s="62"/>
      <c r="DX157" s="115">
        <v>37139</v>
      </c>
      <c r="DY157" s="4"/>
      <c r="DZ157" s="74"/>
      <c r="EA157" s="247" t="s">
        <v>1066</v>
      </c>
    </row>
    <row r="158" spans="1:131" x14ac:dyDescent="0.4">
      <c r="A158" s="4" t="s">
        <v>40</v>
      </c>
      <c r="B158" s="5" t="s">
        <v>331</v>
      </c>
      <c r="C158" s="8">
        <v>37.023280999999997</v>
      </c>
      <c r="D158" s="8">
        <v>-104.781255</v>
      </c>
      <c r="E158" s="7" t="s">
        <v>295</v>
      </c>
      <c r="F158" s="5" t="s">
        <v>296</v>
      </c>
      <c r="G158" s="14" t="s">
        <v>332</v>
      </c>
      <c r="H158" s="4" t="s">
        <v>23</v>
      </c>
      <c r="I158" s="52"/>
      <c r="J158" s="53"/>
      <c r="K158" s="36"/>
      <c r="L158" s="38"/>
      <c r="M158" s="54"/>
      <c r="N158" s="55"/>
      <c r="O158" s="56"/>
      <c r="P158" s="36"/>
      <c r="Q158" s="36"/>
      <c r="R158" s="38"/>
      <c r="S158" s="54"/>
      <c r="T158" s="55"/>
      <c r="U158" s="56"/>
      <c r="V158" s="55"/>
      <c r="W158" s="55"/>
      <c r="X158" s="56"/>
      <c r="Y158" s="54"/>
      <c r="Z158" s="56"/>
      <c r="AA158" s="54"/>
      <c r="AB158" s="56"/>
      <c r="AC158" s="54"/>
      <c r="AD158" s="56"/>
      <c r="AE158" s="54"/>
      <c r="AF158" s="56"/>
      <c r="AG158" s="55"/>
      <c r="AH158" s="56"/>
      <c r="AI158" s="54"/>
      <c r="AJ158" s="56"/>
      <c r="AK158" s="55"/>
      <c r="AL158" s="56"/>
      <c r="AM158" s="54"/>
      <c r="AN158" s="56"/>
      <c r="AO158" s="59"/>
      <c r="AP158" s="60"/>
      <c r="AQ158" s="61"/>
      <c r="AR158" s="62"/>
      <c r="AS158" s="38"/>
      <c r="AT158" s="63"/>
      <c r="AU158" s="64"/>
      <c r="AV158" s="64"/>
      <c r="AW158" s="53"/>
      <c r="AX158" s="65"/>
      <c r="AY158" s="64"/>
      <c r="AZ158" s="64"/>
      <c r="BA158" s="53"/>
      <c r="BB158" s="63"/>
      <c r="BC158" s="64"/>
      <c r="BD158" s="64"/>
      <c r="BE158" s="53"/>
      <c r="BF158" s="36"/>
      <c r="BG158" s="38"/>
      <c r="BH158" s="63"/>
      <c r="BI158" s="64"/>
      <c r="BJ158" s="64"/>
      <c r="BK158" s="53"/>
      <c r="BL158" s="66"/>
      <c r="BM158" s="62"/>
      <c r="BN158" s="37"/>
      <c r="BO158" s="38"/>
      <c r="BP158" s="36"/>
      <c r="BQ158" s="38"/>
      <c r="BR158" s="37"/>
      <c r="BS158" s="38"/>
      <c r="BT158" s="35"/>
      <c r="BU158" s="38"/>
      <c r="BV158" s="66"/>
      <c r="BW158" s="62"/>
      <c r="BX158" s="66"/>
      <c r="BY158" s="62"/>
      <c r="BZ158" s="67"/>
      <c r="CA158" s="61"/>
      <c r="CB158" s="62"/>
      <c r="CC158" s="37"/>
      <c r="CD158" s="38"/>
      <c r="CE158" s="64"/>
      <c r="CF158" s="53"/>
      <c r="CG158" s="37"/>
      <c r="CH158" s="38"/>
      <c r="CI158" s="36"/>
      <c r="CJ158" s="38"/>
      <c r="CK158" s="37"/>
      <c r="CL158" s="38"/>
      <c r="CM158" s="36"/>
      <c r="CN158" s="38"/>
      <c r="CO158" s="37"/>
      <c r="CP158" s="38"/>
      <c r="CQ158" s="37"/>
      <c r="CR158" s="38"/>
      <c r="CS158" s="37"/>
      <c r="CT158" s="38"/>
      <c r="CU158" s="66">
        <v>1250</v>
      </c>
      <c r="CV158" s="61">
        <v>2100</v>
      </c>
      <c r="CW158" s="35"/>
      <c r="CX158" s="68">
        <v>32143</v>
      </c>
      <c r="CY158" s="37"/>
      <c r="CZ158" s="35"/>
      <c r="DA158" s="60">
        <v>2.938E-2</v>
      </c>
      <c r="DB158" s="112">
        <v>7800000</v>
      </c>
      <c r="DC158" s="60"/>
      <c r="DD158" s="69"/>
      <c r="DE158" s="60"/>
      <c r="DF158" s="70">
        <v>0</v>
      </c>
      <c r="DG158" s="70"/>
      <c r="DH158" s="71">
        <v>37138</v>
      </c>
      <c r="DI158" s="64"/>
      <c r="DJ158" s="35" t="s">
        <v>1067</v>
      </c>
      <c r="DK158" s="61">
        <v>2000</v>
      </c>
      <c r="DL158" s="61">
        <v>8000</v>
      </c>
      <c r="DM158" s="72"/>
      <c r="DN158" s="64"/>
      <c r="DO158" s="72"/>
      <c r="DP158" s="64"/>
      <c r="DQ158" s="72"/>
      <c r="DR158" s="107">
        <v>0.65</v>
      </c>
      <c r="DS158" s="70">
        <v>5.3</v>
      </c>
      <c r="DT158" s="36" t="s">
        <v>541</v>
      </c>
      <c r="DU158" s="66"/>
      <c r="DV158" s="62">
        <v>4300</v>
      </c>
      <c r="DW158" s="62">
        <v>3700</v>
      </c>
      <c r="DX158" s="73">
        <v>40778</v>
      </c>
      <c r="DY158" s="4" t="s">
        <v>1068</v>
      </c>
      <c r="DZ158" s="74" t="s">
        <v>1069</v>
      </c>
      <c r="EA158" s="244" t="s">
        <v>1070</v>
      </c>
    </row>
    <row r="159" spans="1:131" x14ac:dyDescent="0.4">
      <c r="A159" s="4" t="s">
        <v>40</v>
      </c>
      <c r="B159" s="5" t="s">
        <v>333</v>
      </c>
      <c r="C159" s="8">
        <v>34.990113999999998</v>
      </c>
      <c r="D159" s="8">
        <v>-118.926051</v>
      </c>
      <c r="E159" s="7" t="s">
        <v>295</v>
      </c>
      <c r="F159" s="5" t="s">
        <v>296</v>
      </c>
      <c r="G159" s="7" t="s">
        <v>334</v>
      </c>
      <c r="H159" s="4" t="s">
        <v>23</v>
      </c>
      <c r="I159" s="52"/>
      <c r="J159" s="53"/>
      <c r="K159" s="36"/>
      <c r="L159" s="38"/>
      <c r="M159" s="54"/>
      <c r="N159" s="55"/>
      <c r="O159" s="56"/>
      <c r="P159" s="59">
        <v>2.0000000000000001E-13</v>
      </c>
      <c r="Q159" s="59">
        <v>9.9999999999999998E-13</v>
      </c>
      <c r="R159" s="60">
        <f>AVERAGE(P159,Q159)</f>
        <v>5.9999999999999997E-13</v>
      </c>
      <c r="S159" s="54"/>
      <c r="T159" s="55"/>
      <c r="U159" s="56"/>
      <c r="V159" s="55"/>
      <c r="W159" s="55"/>
      <c r="X159" s="56"/>
      <c r="Y159" s="54"/>
      <c r="Z159" s="56"/>
      <c r="AA159" s="55">
        <v>30</v>
      </c>
      <c r="AB159" s="56"/>
      <c r="AC159" s="55"/>
      <c r="AD159" s="56"/>
      <c r="AE159" s="54"/>
      <c r="AF159" s="56"/>
      <c r="AG159" s="55"/>
      <c r="AH159" s="56"/>
      <c r="AI159" s="54"/>
      <c r="AJ159" s="56"/>
      <c r="AK159" s="55"/>
      <c r="AL159" s="56"/>
      <c r="AM159" s="54"/>
      <c r="AN159" s="56"/>
      <c r="AO159" s="59"/>
      <c r="AP159" s="60"/>
      <c r="AQ159" s="61"/>
      <c r="AR159" s="62"/>
      <c r="AS159" s="38" t="s">
        <v>535</v>
      </c>
      <c r="AT159" s="63"/>
      <c r="AU159" s="64"/>
      <c r="AV159" s="64"/>
      <c r="AW159" s="53"/>
      <c r="AX159" s="65"/>
      <c r="AY159" s="64"/>
      <c r="AZ159" s="64"/>
      <c r="BA159" s="53"/>
      <c r="BB159" s="63"/>
      <c r="BC159" s="64"/>
      <c r="BD159" s="64"/>
      <c r="BE159" s="53"/>
      <c r="BF159" s="36" t="s">
        <v>1071</v>
      </c>
      <c r="BG159" s="38"/>
      <c r="BH159" s="63"/>
      <c r="BI159" s="64"/>
      <c r="BJ159" s="64"/>
      <c r="BK159" s="53"/>
      <c r="BL159" s="66"/>
      <c r="BM159" s="62"/>
      <c r="BN159" s="37"/>
      <c r="BO159" s="38"/>
      <c r="BP159" s="36"/>
      <c r="BQ159" s="38"/>
      <c r="BR159" s="199" t="s">
        <v>613</v>
      </c>
      <c r="BS159" s="38"/>
      <c r="BT159" s="35" t="s">
        <v>1072</v>
      </c>
      <c r="BU159" s="38" t="s">
        <v>535</v>
      </c>
      <c r="BV159" s="66"/>
      <c r="BW159" s="62"/>
      <c r="BX159" s="66"/>
      <c r="BY159" s="62"/>
      <c r="BZ159" s="67"/>
      <c r="CA159" s="61"/>
      <c r="CB159" s="62"/>
      <c r="CC159" s="37"/>
      <c r="CD159" s="38"/>
      <c r="CE159" s="64"/>
      <c r="CF159" s="53"/>
      <c r="CG159" s="37"/>
      <c r="CH159" s="38"/>
      <c r="CI159" s="36"/>
      <c r="CJ159" s="38"/>
      <c r="CK159" s="37"/>
      <c r="CL159" s="38"/>
      <c r="CM159" s="36"/>
      <c r="CN159" s="38"/>
      <c r="CO159" s="37"/>
      <c r="CP159" s="38"/>
      <c r="CQ159" s="37"/>
      <c r="CR159" s="38"/>
      <c r="CS159" s="37"/>
      <c r="CT159" s="38"/>
      <c r="CU159" s="66">
        <v>1200</v>
      </c>
      <c r="CV159" s="61">
        <v>1500</v>
      </c>
      <c r="CW159" s="35" t="s">
        <v>1011</v>
      </c>
      <c r="CX159" s="68">
        <v>36892</v>
      </c>
      <c r="CY159" s="37"/>
      <c r="CZ159" s="35"/>
      <c r="DA159" s="60">
        <v>2.1989999999999999E-2</v>
      </c>
      <c r="DB159" s="69">
        <v>1800000</v>
      </c>
      <c r="DC159" s="60"/>
      <c r="DD159" s="69"/>
      <c r="DE159" s="60"/>
      <c r="DF159" s="70"/>
      <c r="DG159" s="70"/>
      <c r="DH159" s="71"/>
      <c r="DI159" s="64"/>
      <c r="DJ159" s="35"/>
      <c r="DK159" s="61">
        <v>4000</v>
      </c>
      <c r="DL159" s="61">
        <v>11000</v>
      </c>
      <c r="DM159" s="72"/>
      <c r="DN159" s="64"/>
      <c r="DO159" s="72"/>
      <c r="DP159" s="64"/>
      <c r="DQ159" s="72"/>
      <c r="DR159" s="64"/>
      <c r="DS159" s="70">
        <v>4.5999999999999996</v>
      </c>
      <c r="DT159" s="36" t="s">
        <v>541</v>
      </c>
      <c r="DU159" s="66"/>
      <c r="DV159" s="62">
        <v>9000</v>
      </c>
      <c r="DW159" s="62">
        <v>8000</v>
      </c>
      <c r="DX159" s="73">
        <v>38617</v>
      </c>
      <c r="DY159" s="114"/>
      <c r="DZ159" s="74" t="s">
        <v>1073</v>
      </c>
      <c r="EA159" s="241" t="s">
        <v>1074</v>
      </c>
    </row>
    <row r="160" spans="1:131" x14ac:dyDescent="0.4">
      <c r="A160" s="4" t="s">
        <v>40</v>
      </c>
      <c r="B160" s="5" t="s">
        <v>335</v>
      </c>
      <c r="C160" s="8">
        <v>31.882950999999998</v>
      </c>
      <c r="D160" s="8">
        <v>-94.430778000000004</v>
      </c>
      <c r="E160" s="7" t="s">
        <v>295</v>
      </c>
      <c r="F160" s="5" t="s">
        <v>296</v>
      </c>
      <c r="G160" s="7" t="s">
        <v>336</v>
      </c>
      <c r="H160" s="4" t="s">
        <v>23</v>
      </c>
      <c r="I160" s="52"/>
      <c r="J160" s="53"/>
      <c r="K160" s="36">
        <v>2450</v>
      </c>
      <c r="L160" s="38"/>
      <c r="M160" s="54">
        <v>0.1</v>
      </c>
      <c r="N160" s="55">
        <v>0.26</v>
      </c>
      <c r="O160" s="56">
        <v>0.18</v>
      </c>
      <c r="P160" s="59">
        <v>1E-14</v>
      </c>
      <c r="Q160" s="59">
        <v>6.4999999999999996E-13</v>
      </c>
      <c r="R160" s="60">
        <v>2.0000000000000001E-13</v>
      </c>
      <c r="S160" s="54"/>
      <c r="T160" s="55"/>
      <c r="U160" s="56">
        <v>40</v>
      </c>
      <c r="V160" s="55"/>
      <c r="W160" s="55"/>
      <c r="X160" s="56">
        <v>0.2</v>
      </c>
      <c r="Y160" s="54">
        <f>U160/(3*(1-2*X160))</f>
        <v>22.222222222222225</v>
      </c>
      <c r="Z160" s="56">
        <f>U160/(2*(1+X160))</f>
        <v>16.666666666666668</v>
      </c>
      <c r="AA160" s="54"/>
      <c r="AB160" s="56"/>
      <c r="AC160" s="54">
        <v>0.79</v>
      </c>
      <c r="AD160" s="56"/>
      <c r="AE160" s="54"/>
      <c r="AF160" s="56"/>
      <c r="AG160" s="55"/>
      <c r="AH160" s="56"/>
      <c r="AI160" s="54"/>
      <c r="AJ160" s="56"/>
      <c r="AK160" s="55"/>
      <c r="AL160" s="56"/>
      <c r="AM160" s="54"/>
      <c r="AN160" s="56"/>
      <c r="AO160" s="59"/>
      <c r="AP160" s="60"/>
      <c r="AQ160" s="61">
        <v>5000</v>
      </c>
      <c r="AR160" s="62"/>
      <c r="AS160" s="38" t="s">
        <v>620</v>
      </c>
      <c r="AT160" s="63">
        <v>2.4E-2</v>
      </c>
      <c r="AU160" s="64">
        <v>0</v>
      </c>
      <c r="AV160" s="64">
        <f>PRODUCT(AT160,CU160)</f>
        <v>44.256</v>
      </c>
      <c r="AW160" s="197">
        <f>PRODUCT(AT160,CV160)</f>
        <v>47.544000000000004</v>
      </c>
      <c r="AX160" s="65">
        <v>2.4E-2</v>
      </c>
      <c r="AY160" s="64">
        <v>0</v>
      </c>
      <c r="AZ160" s="64">
        <f>PRODUCT(AX160,CU160)</f>
        <v>44.256</v>
      </c>
      <c r="BA160" s="53">
        <f>PRODUCT(AX160,CV160)</f>
        <v>47.544000000000004</v>
      </c>
      <c r="BB160" s="63">
        <v>1.4E-2</v>
      </c>
      <c r="BC160" s="64">
        <v>0</v>
      </c>
      <c r="BD160" s="192">
        <f>PRODUCT(BB160,CU160)</f>
        <v>25.815999999999999</v>
      </c>
      <c r="BE160" s="197">
        <f>PRODUCT(BB160,CV160)</f>
        <v>27.734000000000002</v>
      </c>
      <c r="BF160" s="36" t="s">
        <v>568</v>
      </c>
      <c r="BG160" s="38" t="s">
        <v>1034</v>
      </c>
      <c r="BH160" s="63">
        <v>1.025E-2</v>
      </c>
      <c r="BI160" s="64">
        <v>0</v>
      </c>
      <c r="BJ160" s="192">
        <f>PRODUCT(BH160,CU160)</f>
        <v>18.901</v>
      </c>
      <c r="BK160" s="53">
        <f>PRODUCT(BH160,CV160)</f>
        <v>20.305250000000001</v>
      </c>
      <c r="BL160" s="66"/>
      <c r="BM160" s="62"/>
      <c r="BN160" s="37" t="s">
        <v>1075</v>
      </c>
      <c r="BO160" s="38" t="s">
        <v>1076</v>
      </c>
      <c r="BP160" s="36">
        <v>61</v>
      </c>
      <c r="BQ160" s="38">
        <v>65</v>
      </c>
      <c r="BR160" s="37" t="s">
        <v>996</v>
      </c>
      <c r="BS160" s="38"/>
      <c r="BT160" s="35"/>
      <c r="BU160" s="38" t="s">
        <v>552</v>
      </c>
      <c r="BV160" s="66"/>
      <c r="BW160" s="62"/>
      <c r="BX160" s="66"/>
      <c r="BY160" s="62"/>
      <c r="BZ160" s="67"/>
      <c r="CA160" s="61"/>
      <c r="CB160" s="62"/>
      <c r="CC160" s="37"/>
      <c r="CD160" s="38"/>
      <c r="CE160" s="64"/>
      <c r="CF160" s="53"/>
      <c r="CG160" s="37"/>
      <c r="CH160" s="38"/>
      <c r="CI160" s="36"/>
      <c r="CJ160" s="38"/>
      <c r="CK160" s="37"/>
      <c r="CL160" s="38"/>
      <c r="CM160" s="36"/>
      <c r="CN160" s="38"/>
      <c r="CO160" s="37"/>
      <c r="CP160" s="38"/>
      <c r="CQ160" s="37"/>
      <c r="CR160" s="38"/>
      <c r="CS160" s="37"/>
      <c r="CT160" s="38"/>
      <c r="CU160" s="66">
        <v>1844</v>
      </c>
      <c r="CV160" s="61">
        <v>1981</v>
      </c>
      <c r="CW160" s="35" t="s">
        <v>982</v>
      </c>
      <c r="CX160" s="68">
        <v>38961</v>
      </c>
      <c r="CY160" s="37" t="s">
        <v>983</v>
      </c>
      <c r="CZ160" s="35"/>
      <c r="DA160" s="60">
        <v>1.6500000000000001E-2</v>
      </c>
      <c r="DB160" s="69">
        <v>3950000</v>
      </c>
      <c r="DC160" s="60"/>
      <c r="DD160" s="69">
        <v>3950000</v>
      </c>
      <c r="DE160" s="60"/>
      <c r="DF160" s="70">
        <v>17.579999999999998</v>
      </c>
      <c r="DG160" s="70"/>
      <c r="DH160" s="71">
        <v>39539</v>
      </c>
      <c r="DI160" s="64">
        <v>240</v>
      </c>
      <c r="DJ160" s="35" t="s">
        <v>1077</v>
      </c>
      <c r="DK160" s="61">
        <v>1600</v>
      </c>
      <c r="DL160" s="61">
        <v>4600</v>
      </c>
      <c r="DM160" s="72"/>
      <c r="DN160" s="64"/>
      <c r="DO160" s="72"/>
      <c r="DP160" s="64">
        <v>0.56999999999999995</v>
      </c>
      <c r="DQ160" s="72"/>
      <c r="DR160" s="64"/>
      <c r="DS160" s="52">
        <v>4.8</v>
      </c>
      <c r="DT160" s="35" t="s">
        <v>541</v>
      </c>
      <c r="DU160" s="61"/>
      <c r="DV160" s="62">
        <v>4500</v>
      </c>
      <c r="DW160" s="62">
        <v>2300</v>
      </c>
      <c r="DX160" s="73">
        <v>41046</v>
      </c>
      <c r="DY160" s="4" t="s">
        <v>1078</v>
      </c>
      <c r="DZ160" s="74" t="s">
        <v>1079</v>
      </c>
      <c r="EA160" s="241" t="s">
        <v>1080</v>
      </c>
    </row>
    <row r="161" spans="1:131" x14ac:dyDescent="0.4">
      <c r="A161" s="4" t="s">
        <v>40</v>
      </c>
      <c r="B161" s="5" t="s">
        <v>337</v>
      </c>
      <c r="C161" s="8">
        <v>32.435985000000002</v>
      </c>
      <c r="D161" s="8">
        <v>-97.104580999999996</v>
      </c>
      <c r="E161" s="7" t="s">
        <v>295</v>
      </c>
      <c r="F161" s="5" t="s">
        <v>296</v>
      </c>
      <c r="G161" s="7" t="s">
        <v>307</v>
      </c>
      <c r="H161" s="4" t="s">
        <v>116</v>
      </c>
      <c r="I161" s="52"/>
      <c r="J161" s="53"/>
      <c r="K161" s="36"/>
      <c r="L161" s="38"/>
      <c r="M161" s="54"/>
      <c r="N161" s="103">
        <v>0.04</v>
      </c>
      <c r="O161" s="102">
        <v>0.04</v>
      </c>
      <c r="P161" s="57">
        <v>1.0000000000000001E-15</v>
      </c>
      <c r="Q161" s="57">
        <v>4.9999999999999999E-13</v>
      </c>
      <c r="R161" s="60">
        <f>AVERAGE(P161,Q161)</f>
        <v>2.5049999999999999E-13</v>
      </c>
      <c r="S161" s="54"/>
      <c r="T161" s="55"/>
      <c r="U161" s="56"/>
      <c r="V161" s="55"/>
      <c r="W161" s="55"/>
      <c r="X161" s="56"/>
      <c r="Y161" s="54"/>
      <c r="Z161" s="56"/>
      <c r="AA161" s="54"/>
      <c r="AB161" s="56"/>
      <c r="AC161" s="54"/>
      <c r="AD161" s="56"/>
      <c r="AE161" s="54"/>
      <c r="AF161" s="56"/>
      <c r="AG161" s="55"/>
      <c r="AH161" s="56"/>
      <c r="AI161" s="54"/>
      <c r="AJ161" s="56"/>
      <c r="AK161" s="55"/>
      <c r="AL161" s="56"/>
      <c r="AM161" s="54"/>
      <c r="AN161" s="56"/>
      <c r="AO161" s="59"/>
      <c r="AP161" s="60"/>
      <c r="AQ161" s="61"/>
      <c r="AR161" s="62"/>
      <c r="AS161" s="38" t="s">
        <v>552</v>
      </c>
      <c r="AT161" s="63">
        <v>2.5999999999999999E-2</v>
      </c>
      <c r="AU161" s="64">
        <v>0</v>
      </c>
      <c r="AV161" s="64">
        <f>AT161*CU161+AU161</f>
        <v>67.807999999999993</v>
      </c>
      <c r="AW161" s="53">
        <f>AT161*CV161+AU161</f>
        <v>103.012</v>
      </c>
      <c r="AX161" s="65">
        <v>2.3650000000000001E-2</v>
      </c>
      <c r="AY161" s="64">
        <v>0</v>
      </c>
      <c r="AZ161" s="64">
        <f>AX161*CU161+AY161</f>
        <v>61.679200000000002</v>
      </c>
      <c r="BA161" s="53">
        <f>AX161*CV161+AY161</f>
        <v>93.701300000000003</v>
      </c>
      <c r="BB161" s="63">
        <v>1.4200000000000001E-2</v>
      </c>
      <c r="BC161" s="64">
        <v>0</v>
      </c>
      <c r="BD161" s="64">
        <f>BB161*CU161+BC161</f>
        <v>37.0336</v>
      </c>
      <c r="BE161" s="53">
        <f>BB161*CV161+BC161</f>
        <v>56.260400000000004</v>
      </c>
      <c r="BF161" s="36"/>
      <c r="BG161" s="38" t="s">
        <v>744</v>
      </c>
      <c r="BH161" s="63">
        <v>1.0500000000000001E-2</v>
      </c>
      <c r="BI161" s="64">
        <v>0</v>
      </c>
      <c r="BJ161" s="64">
        <f>BH161*CU161+BI161</f>
        <v>27.384</v>
      </c>
      <c r="BK161" s="53">
        <f>BH161*CV161+BI161</f>
        <v>41.600999999999999</v>
      </c>
      <c r="BL161" s="66"/>
      <c r="BM161" s="62"/>
      <c r="BN161" s="37"/>
      <c r="BO161" s="38"/>
      <c r="BP161" s="36"/>
      <c r="BQ161" s="38"/>
      <c r="BR161" s="37"/>
      <c r="BS161" s="38"/>
      <c r="BT161" s="35"/>
      <c r="BU161" s="38"/>
      <c r="BV161" s="66"/>
      <c r="BW161" s="62"/>
      <c r="BX161" s="66"/>
      <c r="BY161" s="62"/>
      <c r="BZ161" s="67"/>
      <c r="CA161" s="61"/>
      <c r="CB161" s="62"/>
      <c r="CC161" s="37"/>
      <c r="CD161" s="38"/>
      <c r="CE161" s="64"/>
      <c r="CF161" s="53"/>
      <c r="CG161" s="37"/>
      <c r="CH161" s="38"/>
      <c r="CI161" s="36"/>
      <c r="CJ161" s="38"/>
      <c r="CK161" s="37"/>
      <c r="CL161" s="38"/>
      <c r="CM161" s="36"/>
      <c r="CN161" s="38"/>
      <c r="CO161" s="37"/>
      <c r="CP161" s="38"/>
      <c r="CQ161" s="37"/>
      <c r="CR161" s="38"/>
      <c r="CS161" s="37"/>
      <c r="CT161" s="38"/>
      <c r="CU161" s="66">
        <v>2608</v>
      </c>
      <c r="CV161" s="61">
        <v>3962</v>
      </c>
      <c r="CW161" s="35"/>
      <c r="CX161" s="68">
        <v>39448</v>
      </c>
      <c r="CY161" s="37"/>
      <c r="CZ161" s="35"/>
      <c r="DA161" s="60"/>
      <c r="DB161" s="59">
        <v>28000000</v>
      </c>
      <c r="DC161" s="60"/>
      <c r="DD161" s="69"/>
      <c r="DE161" s="60"/>
      <c r="DF161" s="70"/>
      <c r="DG161" s="70"/>
      <c r="DH161" s="71">
        <v>39448</v>
      </c>
      <c r="DI161" s="64"/>
      <c r="DJ161" s="35"/>
      <c r="DK161" s="61">
        <v>4000</v>
      </c>
      <c r="DL161" s="61">
        <v>6000</v>
      </c>
      <c r="DM161" s="72"/>
      <c r="DN161" s="64"/>
      <c r="DO161" s="72"/>
      <c r="DP161" s="64"/>
      <c r="DQ161" s="72"/>
      <c r="DR161" s="64">
        <v>0.74</v>
      </c>
      <c r="DS161" s="52">
        <v>4</v>
      </c>
      <c r="DT161" s="35" t="s">
        <v>541</v>
      </c>
      <c r="DU161" s="66"/>
      <c r="DV161" s="62">
        <v>2500</v>
      </c>
      <c r="DW161" s="62"/>
      <c r="DX161" s="73">
        <v>42131</v>
      </c>
      <c r="DY161" s="114"/>
      <c r="DZ161" s="74" t="s">
        <v>1081</v>
      </c>
      <c r="EA161" s="241" t="s">
        <v>1082</v>
      </c>
    </row>
    <row r="162" spans="1:131" x14ac:dyDescent="0.4">
      <c r="A162" s="4" t="s">
        <v>40</v>
      </c>
      <c r="B162" s="5" t="s">
        <v>338</v>
      </c>
      <c r="C162" s="8">
        <v>41.118549999999999</v>
      </c>
      <c r="D162" s="8">
        <v>-80.692149999999998</v>
      </c>
      <c r="E162" s="7" t="s">
        <v>295</v>
      </c>
      <c r="F162" s="5" t="s">
        <v>296</v>
      </c>
      <c r="G162" s="14" t="s">
        <v>304</v>
      </c>
      <c r="H162" s="21" t="s">
        <v>23</v>
      </c>
      <c r="I162" s="52"/>
      <c r="J162" s="53"/>
      <c r="K162" s="36"/>
      <c r="L162" s="38"/>
      <c r="M162" s="101">
        <v>9.4E-2</v>
      </c>
      <c r="N162" s="103">
        <v>0.10299999999999999</v>
      </c>
      <c r="O162" s="102">
        <f>AVERAGE(M162,N162)</f>
        <v>9.8500000000000004E-2</v>
      </c>
      <c r="P162" s="36"/>
      <c r="Q162" s="57">
        <v>1E-13</v>
      </c>
      <c r="R162" s="60">
        <f>Q162</f>
        <v>1E-13</v>
      </c>
      <c r="S162" s="54"/>
      <c r="T162" s="103">
        <v>62</v>
      </c>
      <c r="U162" s="102">
        <v>62</v>
      </c>
      <c r="V162" s="103">
        <v>0.19</v>
      </c>
      <c r="W162" s="55"/>
      <c r="X162" s="56">
        <v>0.19</v>
      </c>
      <c r="Y162" s="54"/>
      <c r="Z162" s="56">
        <f>T162/(3*(1-2*W162))</f>
        <v>20.666666666666668</v>
      </c>
      <c r="AA162" s="54"/>
      <c r="AB162" s="56">
        <f>T162/(2*(1+W162))</f>
        <v>31</v>
      </c>
      <c r="AC162" s="54"/>
      <c r="AD162" s="56"/>
      <c r="AE162" s="54"/>
      <c r="AF162" s="56"/>
      <c r="AG162" s="55"/>
      <c r="AH162" s="56"/>
      <c r="AI162" s="54"/>
      <c r="AJ162" s="56"/>
      <c r="AK162" s="55"/>
      <c r="AL162" s="56"/>
      <c r="AM162" s="54"/>
      <c r="AN162" s="56"/>
      <c r="AO162" s="59"/>
      <c r="AP162" s="60"/>
      <c r="AQ162" s="104"/>
      <c r="AR162" s="105"/>
      <c r="AS162" s="100" t="s">
        <v>620</v>
      </c>
      <c r="AT162" s="106">
        <v>2.5999999999999999E-2</v>
      </c>
      <c r="AU162" s="107">
        <v>0</v>
      </c>
      <c r="AV162" s="64">
        <f>PRODUCT(AT162,CU162)</f>
        <v>65.103999999999999</v>
      </c>
      <c r="AW162" s="53">
        <f>PRODUCT(AT162,CV162)</f>
        <v>72.85199999999999</v>
      </c>
      <c r="AX162" s="108">
        <v>2.4879999999999999E-2</v>
      </c>
      <c r="AY162" s="107">
        <v>0</v>
      </c>
      <c r="AZ162" s="64">
        <f>PRODUCT(AX162,CU162)</f>
        <v>62.299520000000001</v>
      </c>
      <c r="BA162" s="53">
        <f>PRODUCT(AX162,CV162)</f>
        <v>69.713759999999994</v>
      </c>
      <c r="BB162" s="106">
        <v>1.5800000000000002E-2</v>
      </c>
      <c r="BC162" s="107">
        <v>0</v>
      </c>
      <c r="BD162" s="64">
        <f>PRODUCT(BB162,CU162)</f>
        <v>39.563200000000002</v>
      </c>
      <c r="BE162" s="53">
        <f>PRODUCT(BB162,CV162)</f>
        <v>44.271600000000007</v>
      </c>
      <c r="BF162" s="99" t="s">
        <v>912</v>
      </c>
      <c r="BG162" s="38"/>
      <c r="BH162" s="106">
        <v>1.018E-2</v>
      </c>
      <c r="BI162" s="107">
        <v>0</v>
      </c>
      <c r="BJ162" s="64">
        <f>PRODUCT(BH162,CU162)</f>
        <v>25.49072</v>
      </c>
      <c r="BK162" s="53">
        <f>PRODUCT(BH162,CV162)</f>
        <v>28.524359999999998</v>
      </c>
      <c r="BL162" s="66"/>
      <c r="BM162" s="62"/>
      <c r="BN162" s="37"/>
      <c r="BO162" s="38"/>
      <c r="BP162" s="36"/>
      <c r="BQ162" s="38"/>
      <c r="BR162" s="37"/>
      <c r="BS162" s="38"/>
      <c r="BT162" s="35"/>
      <c r="BU162" s="38"/>
      <c r="BV162" s="66"/>
      <c r="BW162" s="62"/>
      <c r="BX162" s="66"/>
      <c r="BY162" s="62"/>
      <c r="BZ162" s="67"/>
      <c r="CA162" s="61"/>
      <c r="CB162" s="62"/>
      <c r="CC162" s="37"/>
      <c r="CD162" s="38"/>
      <c r="CE162" s="64"/>
      <c r="CF162" s="53"/>
      <c r="CG162" s="37"/>
      <c r="CH162" s="38"/>
      <c r="CI162" s="36"/>
      <c r="CJ162" s="38"/>
      <c r="CK162" s="37"/>
      <c r="CL162" s="38"/>
      <c r="CM162" s="36"/>
      <c r="CN162" s="38"/>
      <c r="CO162" s="37"/>
      <c r="CP162" s="38"/>
      <c r="CQ162" s="37"/>
      <c r="CR162" s="38"/>
      <c r="CS162" s="37"/>
      <c r="CT162" s="38"/>
      <c r="CU162" s="66">
        <v>2504</v>
      </c>
      <c r="CV162" s="61">
        <v>2802</v>
      </c>
      <c r="CW162" s="35"/>
      <c r="CX162" s="68">
        <v>40541</v>
      </c>
      <c r="CY162" s="37"/>
      <c r="CZ162" s="35"/>
      <c r="DA162" s="60">
        <v>3.7000000000000002E-3</v>
      </c>
      <c r="DB162" s="69">
        <v>78797.600000000006</v>
      </c>
      <c r="DC162" s="60"/>
      <c r="DD162" s="69"/>
      <c r="DE162" s="60"/>
      <c r="DF162" s="70">
        <v>17.2</v>
      </c>
      <c r="DG162" s="70"/>
      <c r="DH162" s="71">
        <v>40554</v>
      </c>
      <c r="DI162" s="64">
        <v>14</v>
      </c>
      <c r="DJ162" s="134" t="s">
        <v>1083</v>
      </c>
      <c r="DK162" s="61">
        <v>3500</v>
      </c>
      <c r="DL162" s="61">
        <v>4000</v>
      </c>
      <c r="DM162" s="72"/>
      <c r="DN162" s="64"/>
      <c r="DO162" s="72"/>
      <c r="DP162" s="64">
        <v>0.83</v>
      </c>
      <c r="DQ162" s="72"/>
      <c r="DR162" s="107"/>
      <c r="DS162" s="70">
        <v>3.88</v>
      </c>
      <c r="DT162" s="36" t="s">
        <v>541</v>
      </c>
      <c r="DU162" s="66"/>
      <c r="DV162" s="62">
        <v>3670</v>
      </c>
      <c r="DW162" s="62"/>
      <c r="DX162" s="73">
        <v>40908</v>
      </c>
      <c r="DY162" s="114"/>
      <c r="DZ162" s="74"/>
      <c r="EA162" s="241" t="s">
        <v>1084</v>
      </c>
    </row>
  </sheetData>
  <mergeCells count="79">
    <mergeCell ref="DH1:DR1"/>
    <mergeCell ref="S2:U2"/>
    <mergeCell ref="DS1:DX1"/>
    <mergeCell ref="DY1:DZ1"/>
    <mergeCell ref="EA1:EA3"/>
    <mergeCell ref="BN1:CT1"/>
    <mergeCell ref="CU1:DG1"/>
    <mergeCell ref="AG2:AH2"/>
    <mergeCell ref="AI2:AJ2"/>
    <mergeCell ref="AK2:AL2"/>
    <mergeCell ref="AM2:AN2"/>
    <mergeCell ref="AO2:AP2"/>
    <mergeCell ref="AQ2:AR2"/>
    <mergeCell ref="CA2:CB2"/>
    <mergeCell ref="AT2:AW2"/>
    <mergeCell ref="AX2:BA2"/>
    <mergeCell ref="A2:A3"/>
    <mergeCell ref="B2:B3"/>
    <mergeCell ref="C2:C3"/>
    <mergeCell ref="D2:D3"/>
    <mergeCell ref="E2:E3"/>
    <mergeCell ref="F2:F3"/>
    <mergeCell ref="G2:G3"/>
    <mergeCell ref="A1:F1"/>
    <mergeCell ref="G1:AP1"/>
    <mergeCell ref="AQ1:BM1"/>
    <mergeCell ref="H2:H3"/>
    <mergeCell ref="I2:J2"/>
    <mergeCell ref="K2:L2"/>
    <mergeCell ref="M2:O2"/>
    <mergeCell ref="P2:R2"/>
    <mergeCell ref="AS2:AS3"/>
    <mergeCell ref="V2:X2"/>
    <mergeCell ref="Y2:Z2"/>
    <mergeCell ref="AA2:AB2"/>
    <mergeCell ref="AC2:AD2"/>
    <mergeCell ref="AE2:AF2"/>
    <mergeCell ref="BB2:BE2"/>
    <mergeCell ref="BF2:BG2"/>
    <mergeCell ref="BH2:BK2"/>
    <mergeCell ref="BL2:BM2"/>
    <mergeCell ref="BN2:BO2"/>
    <mergeCell ref="BP2:BQ2"/>
    <mergeCell ref="BR2:BS2"/>
    <mergeCell ref="BV2:BW2"/>
    <mergeCell ref="BX2:BY2"/>
    <mergeCell ref="CX2:CX3"/>
    <mergeCell ref="CC2:CD2"/>
    <mergeCell ref="CE2:CF2"/>
    <mergeCell ref="CG2:CH2"/>
    <mergeCell ref="CI2:CJ2"/>
    <mergeCell ref="CK2:CL2"/>
    <mergeCell ref="CM2:CN2"/>
    <mergeCell ref="CO2:CP2"/>
    <mergeCell ref="CQ2:CR2"/>
    <mergeCell ref="CS2:CT2"/>
    <mergeCell ref="CU2:CV2"/>
    <mergeCell ref="CW2:CW3"/>
    <mergeCell ref="DM2:DN2"/>
    <mergeCell ref="CY2:CY3"/>
    <mergeCell ref="CZ2:CZ3"/>
    <mergeCell ref="DA2:DA3"/>
    <mergeCell ref="DB2:DC2"/>
    <mergeCell ref="DD2:DE2"/>
    <mergeCell ref="DF2:DF3"/>
    <mergeCell ref="DG2:DG3"/>
    <mergeCell ref="DH2:DH3"/>
    <mergeCell ref="DI2:DI3"/>
    <mergeCell ref="DJ2:DJ3"/>
    <mergeCell ref="DK2:DL2"/>
    <mergeCell ref="DX2:DX3"/>
    <mergeCell ref="DY2:DY3"/>
    <mergeCell ref="DZ2:DZ3"/>
    <mergeCell ref="DO2:DP2"/>
    <mergeCell ref="DQ2:DR2"/>
    <mergeCell ref="DS2:DS3"/>
    <mergeCell ref="DT2:DT3"/>
    <mergeCell ref="DU2:DV2"/>
    <mergeCell ref="DW2:DW3"/>
  </mergeCells>
  <hyperlinks>
    <hyperlink ref="EA71" r:id="rId1" display="https://www.cbc.ca/news/canada/british-columbia/earthquake-fort-st-john-fracking-1.4927898, McLellan (2012), Fox et al. (2019), Verdecchia et al. (2019), Peña Castro et al. (2020)" xr:uid="{E02C62AC-1E3F-4B66-A946-DE2E22C78C02}"/>
    <hyperlink ref="EA69" r:id="rId2" display="Nicholson and Wesson (1992), Julian et al. (1996), Majer (2007), Majer and Peterson (2008), Boyle and Zoback (2014), Martínez‐Garzón et al. (2014), Rutqvist et al. (2015), Garcia et al. (2016), Buijze et al. (2019), Scibek (2020), http://www.conservation." xr:uid="{E911ADAA-E239-43BA-B07F-6F120D553C64}"/>
    <hyperlink ref="DZ63" r:id="rId3" xr:uid="{E7DA3021-D529-42CB-B1A5-CDB410AA107E}"/>
    <hyperlink ref="DZ24" r:id="rId4" display="https://earthquakes.bgs.ac.uk/induced/recent_uk_events.html, Still in the exploration phase" xr:uid="{B5B126A0-CFBA-4DFD-837B-821CA6C98612}"/>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LENOVO_ASP</dc:creator>
  <cp:lastModifiedBy>алексей поздняков</cp:lastModifiedBy>
  <dcterms:created xsi:type="dcterms:W3CDTF">2015-06-05T18:19:34Z</dcterms:created>
  <dcterms:modified xsi:type="dcterms:W3CDTF">2026-08-05T16:35:07Z</dcterms:modified>
</cp:coreProperties>
</file>